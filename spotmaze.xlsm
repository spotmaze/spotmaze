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min\Documents\GitHub\Unity\WebGL builds\Game Assets\"/>
    </mc:Choice>
  </mc:AlternateContent>
  <xr:revisionPtr revIDLastSave="0" documentId="13_ncr:1_{6C86B6A6-AC6B-49C9-B42E-4DE8A4909D6A}" xr6:coauthVersionLast="47" xr6:coauthVersionMax="47" xr10:uidLastSave="{00000000-0000-0000-0000-000000000000}"/>
  <bookViews>
    <workbookView xWindow="-108" yWindow="-108" windowWidth="23256" windowHeight="12720" activeTab="3" xr2:uid="{00000000-000D-0000-FFFF-FFFF00000000}"/>
  </bookViews>
  <sheets>
    <sheet name="Website" sheetId="9" r:id="rId1"/>
    <sheet name="Developer Mode" sheetId="7" r:id="rId2"/>
    <sheet name="Base Plate" sheetId="10" r:id="rId3"/>
    <sheet name="Map" sheetId="13" r:id="rId4"/>
    <sheet name="Spots" sheetId="1" r:id="rId5"/>
    <sheet name="Maze" sheetId="2" r:id="rId6"/>
    <sheet name="Paths" sheetId="11" r:id="rId7"/>
    <sheet name="Upload Process" sheetId="12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1" i="11" l="1" a="1"/>
  <c r="A111" i="11" s="1"/>
  <c r="B111" i="11" a="1"/>
  <c r="B111" i="11" s="1"/>
  <c r="H37" i="2" a="1"/>
  <c r="H37" i="2" s="1"/>
  <c r="I37" i="2" a="1"/>
  <c r="I37" i="2" s="1"/>
  <c r="H38" i="2" a="1"/>
  <c r="H38" i="2" s="1"/>
  <c r="I38" i="2" a="1"/>
  <c r="I38" i="2" s="1"/>
  <c r="H39" i="2" a="1"/>
  <c r="H39" i="2" s="1"/>
  <c r="I39" i="2" a="1"/>
  <c r="I39" i="2" s="1"/>
  <c r="H40" i="2" a="1"/>
  <c r="H40" i="2" s="1"/>
  <c r="A117" i="11" s="1" a="1"/>
  <c r="A117" i="11" s="1"/>
  <c r="I40" i="2" a="1"/>
  <c r="I40" i="2" s="1"/>
  <c r="B117" i="11" s="1" a="1"/>
  <c r="B117" i="11" s="1"/>
  <c r="H41" i="2" a="1"/>
  <c r="H41" i="2" s="1"/>
  <c r="A120" i="11" s="1" a="1"/>
  <c r="A120" i="11" s="1"/>
  <c r="I41" i="2" a="1"/>
  <c r="I41" i="2" s="1"/>
  <c r="B120" i="11" s="1" a="1"/>
  <c r="B120" i="11" s="1"/>
  <c r="H42" i="2" a="1"/>
  <c r="H42" i="2" s="1"/>
  <c r="I42" i="2" a="1"/>
  <c r="I42" i="2" s="1"/>
  <c r="E37" i="2" a="1"/>
  <c r="E37" i="2" s="1"/>
  <c r="F37" i="2" a="1"/>
  <c r="F37" i="2" s="1"/>
  <c r="E38" i="2" a="1"/>
  <c r="E38" i="2" s="1"/>
  <c r="A110" i="11" s="1" a="1"/>
  <c r="A110" i="11" s="1"/>
  <c r="F38" i="2" a="1"/>
  <c r="F38" i="2" s="1"/>
  <c r="E39" i="2" a="1"/>
  <c r="E39" i="2" s="1"/>
  <c r="F39" i="2" a="1"/>
  <c r="F39" i="2" s="1"/>
  <c r="B113" i="11" s="1" a="1"/>
  <c r="B113" i="11" s="1"/>
  <c r="E40" i="2" a="1"/>
  <c r="E40" i="2" s="1"/>
  <c r="A116" i="11" s="1" a="1"/>
  <c r="A116" i="11" s="1"/>
  <c r="F40" i="2" a="1"/>
  <c r="F40" i="2" s="1"/>
  <c r="B116" i="11" s="1" a="1"/>
  <c r="B116" i="11" s="1"/>
  <c r="E41" i="2" a="1"/>
  <c r="E41" i="2" s="1"/>
  <c r="F41" i="2" a="1"/>
  <c r="F41" i="2" s="1"/>
  <c r="E42" i="2" a="1"/>
  <c r="E42" i="2" s="1"/>
  <c r="F42" i="2" a="1"/>
  <c r="F42" i="2" s="1"/>
  <c r="C65" i="11" a="1"/>
  <c r="C65" i="11" s="1"/>
  <c r="C66" i="11" a="1"/>
  <c r="C66" i="11" s="1"/>
  <c r="C68" i="11" a="1"/>
  <c r="C68" i="11" s="1"/>
  <c r="C69" i="11" a="1"/>
  <c r="C69" i="11" s="1"/>
  <c r="C71" i="11" a="1"/>
  <c r="C71" i="11" s="1"/>
  <c r="C72" i="11" a="1"/>
  <c r="C72" i="11" s="1"/>
  <c r="C74" i="11" a="1"/>
  <c r="C74" i="11" s="1"/>
  <c r="C75" i="11" a="1"/>
  <c r="C75" i="11" s="1"/>
  <c r="C77" i="11" a="1"/>
  <c r="C77" i="11" s="1"/>
  <c r="C78" i="11" a="1"/>
  <c r="C78" i="11" s="1"/>
  <c r="C83" i="11" a="1"/>
  <c r="C83" i="11" s="1"/>
  <c r="C84" i="11" a="1"/>
  <c r="C84" i="11" s="1"/>
  <c r="C86" i="11" a="1"/>
  <c r="C86" i="11" s="1"/>
  <c r="C87" i="11" a="1"/>
  <c r="C87" i="11" s="1"/>
  <c r="C89" i="11" a="1"/>
  <c r="C89" i="11" s="1"/>
  <c r="C90" i="11" a="1"/>
  <c r="C90" i="11" s="1"/>
  <c r="C92" i="11" a="1"/>
  <c r="C92" i="11" s="1"/>
  <c r="C93" i="11" a="1"/>
  <c r="C93" i="11" s="1"/>
  <c r="C95" i="11" a="1"/>
  <c r="C95" i="11" s="1"/>
  <c r="C96" i="11" a="1"/>
  <c r="C96" i="11" s="1"/>
  <c r="C98" i="11" a="1"/>
  <c r="C98" i="11" s="1"/>
  <c r="C99" i="11" a="1"/>
  <c r="C99" i="11" s="1"/>
  <c r="C101" i="11" a="1"/>
  <c r="C101" i="11" s="1"/>
  <c r="C102" i="11" a="1"/>
  <c r="C102" i="11" s="1"/>
  <c r="C104" i="11" a="1"/>
  <c r="C104" i="11" s="1"/>
  <c r="C105" i="11" a="1"/>
  <c r="C105" i="11" s="1"/>
  <c r="C107" i="11" a="1"/>
  <c r="C107" i="11" s="1"/>
  <c r="C108" i="11" a="1"/>
  <c r="C108" i="11" s="1"/>
  <c r="C110" i="11" a="1"/>
  <c r="C110" i="11" s="1"/>
  <c r="C111" i="11" a="1"/>
  <c r="C111" i="11" s="1"/>
  <c r="C113" i="11" a="1"/>
  <c r="C113" i="11" s="1"/>
  <c r="C114" i="11" a="1"/>
  <c r="C114" i="11" s="1"/>
  <c r="C116" i="11" a="1"/>
  <c r="C116" i="11" s="1"/>
  <c r="C117" i="11" a="1"/>
  <c r="C117" i="11" s="1"/>
  <c r="C119" i="11" a="1"/>
  <c r="C119" i="11" s="1"/>
  <c r="C120" i="11" a="1"/>
  <c r="C120" i="11" s="1"/>
  <c r="B110" i="11" a="1"/>
  <c r="B110" i="11" s="1"/>
  <c r="A113" i="11" a="1"/>
  <c r="A113" i="11" s="1"/>
  <c r="C2" i="11" a="1"/>
  <c r="C2" i="11" s="1"/>
  <c r="C3" i="11" a="1"/>
  <c r="C3" i="11" s="1"/>
  <c r="C5" i="11" a="1"/>
  <c r="C5" i="11" s="1"/>
  <c r="C6" i="11" a="1"/>
  <c r="C6" i="11" s="1"/>
  <c r="C8" i="11" a="1"/>
  <c r="C8" i="11" s="1"/>
  <c r="C9" i="11" a="1"/>
  <c r="C9" i="11" s="1"/>
  <c r="C11" i="11" a="1"/>
  <c r="C11" i="11" s="1"/>
  <c r="C12" i="11" a="1"/>
  <c r="C12" i="11" s="1"/>
  <c r="C14" i="11" a="1"/>
  <c r="C14" i="11" s="1"/>
  <c r="C15" i="11" a="1"/>
  <c r="C15" i="11" s="1"/>
  <c r="C17" i="11" a="1"/>
  <c r="C17" i="11" s="1"/>
  <c r="C18" i="11" a="1"/>
  <c r="C18" i="11" s="1"/>
  <c r="C20" i="11" a="1"/>
  <c r="C20" i="11" s="1"/>
  <c r="C21" i="11" a="1"/>
  <c r="C21" i="11" s="1"/>
  <c r="C23" i="11" a="1"/>
  <c r="C23" i="11" s="1"/>
  <c r="C24" i="11" a="1"/>
  <c r="C24" i="11" s="1"/>
  <c r="C26" i="11" a="1"/>
  <c r="C26" i="11" s="1"/>
  <c r="C27" i="11" a="1"/>
  <c r="C27" i="11" s="1"/>
  <c r="C29" i="11" a="1"/>
  <c r="C29" i="11" s="1"/>
  <c r="C30" i="11" a="1"/>
  <c r="C30" i="11" s="1"/>
  <c r="C32" i="11" a="1"/>
  <c r="C32" i="11" s="1"/>
  <c r="C33" i="11" a="1"/>
  <c r="C33" i="11" s="1"/>
  <c r="C35" i="11" a="1"/>
  <c r="C35" i="11" s="1"/>
  <c r="C36" i="11" a="1"/>
  <c r="C36" i="11" s="1"/>
  <c r="C38" i="11" a="1"/>
  <c r="C38" i="11" s="1"/>
  <c r="C39" i="11" a="1"/>
  <c r="C39" i="11" s="1"/>
  <c r="C41" i="11" a="1"/>
  <c r="C41" i="11" s="1"/>
  <c r="C42" i="11" a="1"/>
  <c r="C42" i="11" s="1"/>
  <c r="C44" i="11" a="1"/>
  <c r="C44" i="11" s="1"/>
  <c r="C45" i="11" a="1"/>
  <c r="C45" i="11" s="1"/>
  <c r="C47" i="11" a="1"/>
  <c r="C47" i="11" s="1"/>
  <c r="C48" i="11" a="1"/>
  <c r="C48" i="11" s="1"/>
  <c r="C50" i="11" a="1"/>
  <c r="C50" i="11" s="1"/>
  <c r="C51" i="11" a="1"/>
  <c r="C51" i="11" s="1"/>
  <c r="C54" i="11" a="1"/>
  <c r="C54" i="11" s="1"/>
  <c r="C53" i="11" a="1"/>
  <c r="C53" i="11" s="1"/>
  <c r="C57" i="11" a="1"/>
  <c r="C57" i="11" s="1"/>
  <c r="C56" i="11" a="1"/>
  <c r="C56" i="11" s="1"/>
  <c r="C81" i="11" a="1"/>
  <c r="C81" i="11" s="1"/>
  <c r="C80" i="11" a="1"/>
  <c r="C80" i="11" s="1"/>
  <c r="C59" i="11" a="1"/>
  <c r="C59" i="11" s="1"/>
  <c r="C60" i="11" a="1"/>
  <c r="C60" i="11" s="1"/>
  <c r="C62" i="11" a="1"/>
  <c r="C62" i="11" s="1"/>
  <c r="C63" i="11" a="1"/>
  <c r="C63" i="11" s="1"/>
  <c r="AA15" i="11"/>
  <c r="AB1" i="11"/>
  <c r="AC1" i="11" s="1"/>
  <c r="AA1" i="11"/>
  <c r="AB2" i="11"/>
  <c r="AA2" i="11"/>
  <c r="AC2" i="11" s="1"/>
  <c r="AB3" i="11"/>
  <c r="AC3" i="11" s="1"/>
  <c r="AA3" i="11"/>
  <c r="AB4" i="11"/>
  <c r="AA4" i="11"/>
  <c r="AB5" i="11"/>
  <c r="AC5" i="11" s="1"/>
  <c r="AA5" i="11"/>
  <c r="AB6" i="11"/>
  <c r="AC6" i="11" s="1"/>
  <c r="AA6" i="11"/>
  <c r="AB7" i="11"/>
  <c r="AC7" i="11" s="1"/>
  <c r="AA7" i="11"/>
  <c r="AB8" i="11"/>
  <c r="AA8" i="11"/>
  <c r="AB9" i="11"/>
  <c r="AC9" i="11" s="1"/>
  <c r="AA9" i="11"/>
  <c r="AB10" i="11"/>
  <c r="AA10" i="11"/>
  <c r="AC10" i="11" s="1"/>
  <c r="AB11" i="11"/>
  <c r="AC11" i="11" s="1"/>
  <c r="AA11" i="11"/>
  <c r="AB12" i="11"/>
  <c r="AA12" i="11"/>
  <c r="AB13" i="11"/>
  <c r="AC13" i="11" s="1"/>
  <c r="AA13" i="11"/>
  <c r="AB14" i="11"/>
  <c r="AC14" i="11" s="1"/>
  <c r="AA14" i="11"/>
  <c r="AB15" i="11"/>
  <c r="AC15" i="11" s="1"/>
  <c r="AB16" i="11"/>
  <c r="AC16" i="11" s="1"/>
  <c r="AA16" i="11"/>
  <c r="AB17" i="11"/>
  <c r="AA17" i="11"/>
  <c r="AB18" i="11"/>
  <c r="AC18" i="11" s="1"/>
  <c r="AA18" i="11"/>
  <c r="AB19" i="11"/>
  <c r="AA19" i="11"/>
  <c r="AB20" i="11"/>
  <c r="AC20" i="11" s="1"/>
  <c r="AA20" i="11"/>
  <c r="AB21" i="11"/>
  <c r="AA21" i="11"/>
  <c r="AB22" i="11"/>
  <c r="AC22" i="11" s="1"/>
  <c r="AA22" i="11"/>
  <c r="AB23" i="11"/>
  <c r="AA23" i="11"/>
  <c r="AB24" i="11"/>
  <c r="AC24" i="11" s="1"/>
  <c r="AA24" i="11"/>
  <c r="AB25" i="11"/>
  <c r="AA25" i="11"/>
  <c r="AB26" i="11"/>
  <c r="AC26" i="11" s="1"/>
  <c r="AA26" i="11"/>
  <c r="AB27" i="11"/>
  <c r="AA27" i="11"/>
  <c r="AB28" i="11"/>
  <c r="AC28" i="11" s="1"/>
  <c r="AA28" i="11"/>
  <c r="AB29" i="11"/>
  <c r="AA29" i="11"/>
  <c r="AB30" i="11"/>
  <c r="AC30" i="11" s="1"/>
  <c r="AA30" i="11"/>
  <c r="AB31" i="11"/>
  <c r="AA31" i="11"/>
  <c r="AB32" i="11"/>
  <c r="AC32" i="11" s="1"/>
  <c r="AA32" i="11"/>
  <c r="AB33" i="11"/>
  <c r="AA33" i="11"/>
  <c r="AB34" i="11"/>
  <c r="AC34" i="11" s="1"/>
  <c r="AA34" i="11"/>
  <c r="AB35" i="11"/>
  <c r="AA35" i="11"/>
  <c r="AB36" i="11"/>
  <c r="AC36" i="11" s="1"/>
  <c r="AA36" i="11"/>
  <c r="AB37" i="11"/>
  <c r="AA37" i="11"/>
  <c r="AB38" i="11"/>
  <c r="AC38" i="11" s="1"/>
  <c r="AA38" i="11"/>
  <c r="AB39" i="11"/>
  <c r="AA39" i="11"/>
  <c r="AB40" i="11"/>
  <c r="AC40" i="11" s="1"/>
  <c r="AA40" i="11"/>
  <c r="AB41" i="11"/>
  <c r="AA41" i="11"/>
  <c r="AB42" i="11"/>
  <c r="AC42" i="11" s="1"/>
  <c r="AA42" i="11"/>
  <c r="AB43" i="11"/>
  <c r="AA43" i="11"/>
  <c r="AB44" i="11"/>
  <c r="AC44" i="11" s="1"/>
  <c r="AA44" i="11"/>
  <c r="AB45" i="11"/>
  <c r="AA45" i="11"/>
  <c r="AB46" i="11"/>
  <c r="AC46" i="11" s="1"/>
  <c r="AA46" i="11"/>
  <c r="AB47" i="11"/>
  <c r="AA47" i="11"/>
  <c r="AB48" i="11"/>
  <c r="AC48" i="11" s="1"/>
  <c r="AA48" i="11"/>
  <c r="AB49" i="11"/>
  <c r="AA49" i="11"/>
  <c r="AB50" i="11"/>
  <c r="AC50" i="11" s="1"/>
  <c r="AA50" i="11"/>
  <c r="AB51" i="11"/>
  <c r="AA51" i="11"/>
  <c r="AB52" i="11"/>
  <c r="AC52" i="11" s="1"/>
  <c r="AA52" i="11"/>
  <c r="AB53" i="11"/>
  <c r="AA53" i="11"/>
  <c r="AB54" i="11"/>
  <c r="AC54" i="11" s="1"/>
  <c r="AA54" i="11"/>
  <c r="AB55" i="11"/>
  <c r="AA55" i="11"/>
  <c r="AB56" i="11"/>
  <c r="AC56" i="11" s="1"/>
  <c r="AA56" i="11"/>
  <c r="AB57" i="11"/>
  <c r="AA57" i="11"/>
  <c r="AB58" i="11"/>
  <c r="AC58" i="11" s="1"/>
  <c r="AA58" i="11"/>
  <c r="AB59" i="11"/>
  <c r="AA59" i="11"/>
  <c r="AB60" i="11"/>
  <c r="AC60" i="11" s="1"/>
  <c r="AA60" i="11"/>
  <c r="AB61" i="11"/>
  <c r="AA61" i="11"/>
  <c r="AB62" i="11"/>
  <c r="AC62" i="11" s="1"/>
  <c r="AA62" i="11"/>
  <c r="AB63" i="11"/>
  <c r="AA63" i="11"/>
  <c r="AB64" i="11"/>
  <c r="AC64" i="11" s="1"/>
  <c r="AA64" i="11"/>
  <c r="AB65" i="11"/>
  <c r="AA65" i="11"/>
  <c r="AB66" i="11"/>
  <c r="AC66" i="11" s="1"/>
  <c r="AA66" i="11"/>
  <c r="AB67" i="11"/>
  <c r="AA67" i="11"/>
  <c r="AB68" i="11"/>
  <c r="AC68" i="11" s="1"/>
  <c r="AA68" i="11"/>
  <c r="AB69" i="11"/>
  <c r="AA69" i="11"/>
  <c r="AB70" i="11"/>
  <c r="AC70" i="11" s="1"/>
  <c r="AA70" i="11"/>
  <c r="AB71" i="11"/>
  <c r="AA71" i="11"/>
  <c r="AB72" i="11"/>
  <c r="AC72" i="11" s="1"/>
  <c r="AA72" i="11"/>
  <c r="AB73" i="11"/>
  <c r="AA73" i="11"/>
  <c r="AB74" i="11"/>
  <c r="AC74" i="11" s="1"/>
  <c r="AA74" i="11"/>
  <c r="AB75" i="11"/>
  <c r="AA75" i="11"/>
  <c r="AB76" i="11"/>
  <c r="AC76" i="11" s="1"/>
  <c r="AA76" i="11"/>
  <c r="AB77" i="11"/>
  <c r="AA77" i="11"/>
  <c r="AB78" i="11"/>
  <c r="AC78" i="11" s="1"/>
  <c r="AA78" i="11"/>
  <c r="AB79" i="11"/>
  <c r="AA79" i="11"/>
  <c r="AB80" i="11"/>
  <c r="AC80" i="11" s="1"/>
  <c r="AA80" i="11"/>
  <c r="AB81" i="11"/>
  <c r="AA81" i="11"/>
  <c r="AB82" i="11"/>
  <c r="AC82" i="11" s="1"/>
  <c r="AA82" i="11"/>
  <c r="AB83" i="11"/>
  <c r="AA83" i="11"/>
  <c r="AB84" i="11"/>
  <c r="AC84" i="11" s="1"/>
  <c r="AA84" i="11"/>
  <c r="AB85" i="11"/>
  <c r="AA85" i="11"/>
  <c r="AB86" i="11"/>
  <c r="AC86" i="11" s="1"/>
  <c r="AA86" i="11"/>
  <c r="AB87" i="11"/>
  <c r="AA87" i="11"/>
  <c r="AB88" i="11"/>
  <c r="AC88" i="11" s="1"/>
  <c r="AA88" i="11"/>
  <c r="AB89" i="11"/>
  <c r="AA89" i="11"/>
  <c r="AB90" i="11"/>
  <c r="AC90" i="11" s="1"/>
  <c r="AA90" i="11"/>
  <c r="AB91" i="11"/>
  <c r="AA91" i="11"/>
  <c r="AB92" i="11"/>
  <c r="AC92" i="11" s="1"/>
  <c r="AA92" i="11"/>
  <c r="AB93" i="11"/>
  <c r="AA93" i="11"/>
  <c r="AB94" i="11"/>
  <c r="AC94" i="11" s="1"/>
  <c r="AA94" i="11"/>
  <c r="AB95" i="11"/>
  <c r="AA95" i="11"/>
  <c r="AB96" i="11"/>
  <c r="AC96" i="11" s="1"/>
  <c r="AA96" i="11"/>
  <c r="AB97" i="11"/>
  <c r="AA97" i="11"/>
  <c r="AB98" i="11"/>
  <c r="AC98" i="11" s="1"/>
  <c r="AA98" i="11"/>
  <c r="AB99" i="11"/>
  <c r="AA99" i="11"/>
  <c r="AB100" i="11"/>
  <c r="AC100" i="11" s="1"/>
  <c r="AA100" i="11"/>
  <c r="AB101" i="11"/>
  <c r="AA101" i="11"/>
  <c r="AB102" i="11"/>
  <c r="AC102" i="11" s="1"/>
  <c r="AA102" i="11"/>
  <c r="AB103" i="11"/>
  <c r="AA103" i="11"/>
  <c r="AB104" i="11"/>
  <c r="AC104" i="11" s="1"/>
  <c r="AA104" i="11"/>
  <c r="AB105" i="11"/>
  <c r="AA105" i="11"/>
  <c r="AB106" i="11"/>
  <c r="AC106" i="11" s="1"/>
  <c r="AA106" i="11"/>
  <c r="AB107" i="11"/>
  <c r="AA107" i="11"/>
  <c r="AB108" i="11"/>
  <c r="AC108" i="11" s="1"/>
  <c r="AA108" i="11"/>
  <c r="AB109" i="11"/>
  <c r="AA109" i="11"/>
  <c r="AB110" i="11"/>
  <c r="AC110" i="11" s="1"/>
  <c r="AA110" i="11"/>
  <c r="AB111" i="11"/>
  <c r="AA111" i="11"/>
  <c r="AB112" i="11"/>
  <c r="AC112" i="11" s="1"/>
  <c r="AA112" i="11"/>
  <c r="AB113" i="11"/>
  <c r="AA113" i="11"/>
  <c r="AB114" i="11"/>
  <c r="AC114" i="11" s="1"/>
  <c r="AA114" i="11"/>
  <c r="AB115" i="11"/>
  <c r="AA115" i="11"/>
  <c r="AB116" i="11"/>
  <c r="AC116" i="11" s="1"/>
  <c r="AA116" i="11"/>
  <c r="AB117" i="11"/>
  <c r="AA117" i="11"/>
  <c r="AB118" i="11"/>
  <c r="AC118" i="11" s="1"/>
  <c r="AA118" i="11"/>
  <c r="AB119" i="11"/>
  <c r="AA119" i="11"/>
  <c r="AB120" i="11"/>
  <c r="AC120" i="11" s="1"/>
  <c r="AA120" i="11"/>
  <c r="AB121" i="11"/>
  <c r="AA121" i="11"/>
  <c r="AB122" i="11"/>
  <c r="AC122" i="11" s="1"/>
  <c r="AA122" i="11"/>
  <c r="AB123" i="11"/>
  <c r="AA123" i="11"/>
  <c r="AB124" i="11"/>
  <c r="AC124" i="11" s="1"/>
  <c r="AA124" i="11"/>
  <c r="AB125" i="11"/>
  <c r="AA125" i="11"/>
  <c r="AB126" i="11"/>
  <c r="AC126" i="11" s="1"/>
  <c r="AA126" i="11"/>
  <c r="AB127" i="11"/>
  <c r="AA127" i="11"/>
  <c r="AB128" i="11"/>
  <c r="AC128" i="11" s="1"/>
  <c r="AA128" i="11"/>
  <c r="AB129" i="11"/>
  <c r="AA129" i="11"/>
  <c r="AB130" i="11"/>
  <c r="AC130" i="11" s="1"/>
  <c r="AA130" i="11"/>
  <c r="AB131" i="11"/>
  <c r="AA131" i="11"/>
  <c r="AB132" i="11"/>
  <c r="AC132" i="11" s="1"/>
  <c r="AA132" i="11"/>
  <c r="AB133" i="11"/>
  <c r="AA133" i="11"/>
  <c r="AB134" i="11"/>
  <c r="AC134" i="11" s="1"/>
  <c r="AA134" i="11"/>
  <c r="AB135" i="11"/>
  <c r="AA135" i="11"/>
  <c r="AB136" i="11"/>
  <c r="AC136" i="11" s="1"/>
  <c r="AA136" i="11"/>
  <c r="AB137" i="11"/>
  <c r="AA137" i="11"/>
  <c r="AB138" i="11"/>
  <c r="AC138" i="11" s="1"/>
  <c r="AA138" i="11"/>
  <c r="AB139" i="11"/>
  <c r="AA139" i="11"/>
  <c r="AB140" i="11"/>
  <c r="AC140" i="11" s="1"/>
  <c r="AA140" i="11"/>
  <c r="AB141" i="11"/>
  <c r="AA141" i="11"/>
  <c r="AB142" i="11"/>
  <c r="AC142" i="11" s="1"/>
  <c r="AA142" i="11"/>
  <c r="AB143" i="11"/>
  <c r="AA143" i="11"/>
  <c r="AB144" i="11"/>
  <c r="AC144" i="11" s="1"/>
  <c r="AA144" i="11"/>
  <c r="AB145" i="11"/>
  <c r="AA145" i="11"/>
  <c r="AB146" i="11"/>
  <c r="AC146" i="11" s="1"/>
  <c r="AA146" i="11"/>
  <c r="AB147" i="11"/>
  <c r="AA147" i="11"/>
  <c r="AB148" i="11"/>
  <c r="AC148" i="11" s="1"/>
  <c r="AA148" i="11"/>
  <c r="AB149" i="11"/>
  <c r="AA149" i="11"/>
  <c r="AB150" i="11"/>
  <c r="AC150" i="11" s="1"/>
  <c r="AA150" i="11"/>
  <c r="AB151" i="11"/>
  <c r="AA151" i="11"/>
  <c r="AB152" i="11"/>
  <c r="AC152" i="11" s="1"/>
  <c r="AA152" i="11"/>
  <c r="AB153" i="11"/>
  <c r="AA153" i="11"/>
  <c r="AB154" i="11"/>
  <c r="AC154" i="11" s="1"/>
  <c r="AA154" i="11"/>
  <c r="AB155" i="11"/>
  <c r="AA155" i="11"/>
  <c r="AB156" i="11"/>
  <c r="AC156" i="11" s="1"/>
  <c r="AA156" i="11"/>
  <c r="AB157" i="11"/>
  <c r="AA157" i="11"/>
  <c r="AB158" i="11"/>
  <c r="AC158" i="11" s="1"/>
  <c r="AA158" i="11"/>
  <c r="AB159" i="11"/>
  <c r="AA159" i="11"/>
  <c r="AB160" i="11"/>
  <c r="AC160" i="11" s="1"/>
  <c r="AA160" i="11"/>
  <c r="AB161" i="11"/>
  <c r="AA161" i="11"/>
  <c r="AB162" i="11"/>
  <c r="AC162" i="11" s="1"/>
  <c r="AA162" i="11"/>
  <c r="AB163" i="11"/>
  <c r="AA163" i="11"/>
  <c r="AB164" i="11"/>
  <c r="AC164" i="11" s="1"/>
  <c r="AA164" i="11"/>
  <c r="AB165" i="11"/>
  <c r="AA165" i="11"/>
  <c r="AB166" i="11"/>
  <c r="AC166" i="11" s="1"/>
  <c r="AA166" i="11"/>
  <c r="AB167" i="11"/>
  <c r="AA167" i="11"/>
  <c r="AB168" i="11"/>
  <c r="AC168" i="11" s="1"/>
  <c r="AA168" i="11"/>
  <c r="AB169" i="11"/>
  <c r="AA169" i="11"/>
  <c r="AB170" i="11"/>
  <c r="AC170" i="11" s="1"/>
  <c r="AA170" i="11"/>
  <c r="AB171" i="11"/>
  <c r="AA171" i="11"/>
  <c r="AB172" i="11"/>
  <c r="AC172" i="11" s="1"/>
  <c r="AA172" i="11"/>
  <c r="AB173" i="11"/>
  <c r="AA173" i="11"/>
  <c r="AB174" i="11"/>
  <c r="AC174" i="11" s="1"/>
  <c r="AA174" i="11"/>
  <c r="AB175" i="11"/>
  <c r="AC175" i="11" s="1"/>
  <c r="AA175" i="11"/>
  <c r="AB176" i="11"/>
  <c r="AC176" i="11" s="1"/>
  <c r="AA176" i="11"/>
  <c r="AB177" i="11"/>
  <c r="AC177" i="11" s="1"/>
  <c r="AA177" i="11"/>
  <c r="AB178" i="11"/>
  <c r="AC178" i="11" s="1"/>
  <c r="AA178" i="11"/>
  <c r="AB179" i="11"/>
  <c r="AC179" i="11" s="1"/>
  <c r="AA179" i="11"/>
  <c r="AB180" i="11"/>
  <c r="AC180" i="11" s="1"/>
  <c r="AA180" i="11"/>
  <c r="AB181" i="11"/>
  <c r="AC181" i="11" s="1"/>
  <c r="AA181" i="11"/>
  <c r="AB182" i="11"/>
  <c r="AC182" i="11" s="1"/>
  <c r="AA182" i="11"/>
  <c r="AB183" i="11"/>
  <c r="AC183" i="11" s="1"/>
  <c r="AA183" i="11"/>
  <c r="AB184" i="11"/>
  <c r="AC184" i="11" s="1"/>
  <c r="AA184" i="11"/>
  <c r="AB185" i="11"/>
  <c r="AC185" i="11" s="1"/>
  <c r="AA185" i="11"/>
  <c r="AB186" i="11"/>
  <c r="AC186" i="11" s="1"/>
  <c r="AA186" i="11"/>
  <c r="AB187" i="11"/>
  <c r="AC187" i="11" s="1"/>
  <c r="AA187" i="11"/>
  <c r="AB188" i="11"/>
  <c r="AC188" i="11" s="1"/>
  <c r="AA188" i="11"/>
  <c r="AB189" i="11"/>
  <c r="AC189" i="11" s="1"/>
  <c r="AA189" i="11"/>
  <c r="AB190" i="11"/>
  <c r="AC190" i="11" s="1"/>
  <c r="AA190" i="11"/>
  <c r="AB191" i="11"/>
  <c r="AC191" i="11" s="1"/>
  <c r="AA191" i="11"/>
  <c r="AB192" i="11"/>
  <c r="AC192" i="11" s="1"/>
  <c r="AA192" i="11"/>
  <c r="AB193" i="11"/>
  <c r="AC193" i="11" s="1"/>
  <c r="AA193" i="11"/>
  <c r="AB194" i="11"/>
  <c r="AC194" i="11" s="1"/>
  <c r="AA194" i="11"/>
  <c r="AB195" i="11"/>
  <c r="AC195" i="11" s="1"/>
  <c r="AA195" i="11"/>
  <c r="AB196" i="11"/>
  <c r="AC196" i="11" s="1"/>
  <c r="AA196" i="11"/>
  <c r="AB197" i="11"/>
  <c r="AC197" i="11" s="1"/>
  <c r="AA197" i="11"/>
  <c r="AB198" i="11"/>
  <c r="AC198" i="11" s="1"/>
  <c r="AA198" i="11"/>
  <c r="AB199" i="11"/>
  <c r="AC199" i="11" s="1"/>
  <c r="AA199" i="11"/>
  <c r="AB200" i="11"/>
  <c r="AC200" i="11" s="1"/>
  <c r="AA200" i="11"/>
  <c r="AB201" i="11"/>
  <c r="AC201" i="11" s="1"/>
  <c r="AA201" i="11"/>
  <c r="AB202" i="11"/>
  <c r="AC202" i="11" s="1"/>
  <c r="AA202" i="11"/>
  <c r="AB203" i="11"/>
  <c r="AC203" i="11" s="1"/>
  <c r="AA203" i="11"/>
  <c r="AB204" i="11"/>
  <c r="AC204" i="11" s="1"/>
  <c r="AA204" i="11"/>
  <c r="AB205" i="11"/>
  <c r="AC205" i="11" s="1"/>
  <c r="AA205" i="11"/>
  <c r="AB206" i="11"/>
  <c r="AC206" i="11" s="1"/>
  <c r="AA206" i="11"/>
  <c r="AB207" i="11"/>
  <c r="AC207" i="11" s="1"/>
  <c r="AA207" i="11"/>
  <c r="AB208" i="11"/>
  <c r="AC208" i="11" s="1"/>
  <c r="AA208" i="11"/>
  <c r="AB209" i="11"/>
  <c r="AC209" i="11" s="1"/>
  <c r="AA209" i="11"/>
  <c r="AB210" i="11"/>
  <c r="AC210" i="11" s="1"/>
  <c r="AA210" i="11"/>
  <c r="AB211" i="11"/>
  <c r="AC211" i="11" s="1"/>
  <c r="AA211" i="11"/>
  <c r="AB212" i="11"/>
  <c r="AC212" i="11" s="1"/>
  <c r="AA212" i="11"/>
  <c r="AB213" i="11"/>
  <c r="AC213" i="11" s="1"/>
  <c r="AA213" i="11"/>
  <c r="AB214" i="11"/>
  <c r="AC214" i="11" s="1"/>
  <c r="AA214" i="11"/>
  <c r="AB215" i="11"/>
  <c r="AC215" i="11" s="1"/>
  <c r="AA215" i="11"/>
  <c r="AB216" i="11"/>
  <c r="AC216" i="11" s="1"/>
  <c r="AA216" i="11"/>
  <c r="AB217" i="11"/>
  <c r="AC217" i="11" s="1"/>
  <c r="AA217" i="11"/>
  <c r="AB218" i="11"/>
  <c r="AC218" i="11" s="1"/>
  <c r="AA218" i="11"/>
  <c r="AB219" i="11"/>
  <c r="AC219" i="11" s="1"/>
  <c r="AA219" i="11"/>
  <c r="AB220" i="11"/>
  <c r="AC220" i="11" s="1"/>
  <c r="AA220" i="11"/>
  <c r="AB221" i="11"/>
  <c r="AC221" i="11" s="1"/>
  <c r="AA221" i="11"/>
  <c r="AB222" i="11"/>
  <c r="AC222" i="11" s="1"/>
  <c r="AA222" i="11"/>
  <c r="AB223" i="11"/>
  <c r="AC223" i="11" s="1"/>
  <c r="AA223" i="11"/>
  <c r="AB224" i="11"/>
  <c r="AC224" i="11" s="1"/>
  <c r="AA224" i="11"/>
  <c r="AB225" i="11"/>
  <c r="AC225" i="11" s="1"/>
  <c r="AA225" i="11"/>
  <c r="AB226" i="11"/>
  <c r="AC226" i="11" s="1"/>
  <c r="AA226" i="11"/>
  <c r="AB227" i="11"/>
  <c r="AC227" i="11" s="1"/>
  <c r="AA227" i="11"/>
  <c r="AB228" i="11"/>
  <c r="AC228" i="11" s="1"/>
  <c r="AA228" i="11"/>
  <c r="AB229" i="11"/>
  <c r="AC229" i="11" s="1"/>
  <c r="AA229" i="11"/>
  <c r="AB230" i="11"/>
  <c r="AC230" i="11" s="1"/>
  <c r="AA230" i="11"/>
  <c r="AB231" i="11"/>
  <c r="AC231" i="11" s="1"/>
  <c r="AA231" i="11"/>
  <c r="AB232" i="11"/>
  <c r="AC232" i="11" s="1"/>
  <c r="AA232" i="11"/>
  <c r="AB233" i="11"/>
  <c r="AC233" i="11" s="1"/>
  <c r="AA233" i="11"/>
  <c r="AB234" i="11"/>
  <c r="AC234" i="11" s="1"/>
  <c r="AA234" i="11"/>
  <c r="AB235" i="11"/>
  <c r="AC235" i="11" s="1"/>
  <c r="AA235" i="11"/>
  <c r="AB236" i="11"/>
  <c r="AC236" i="11" s="1"/>
  <c r="AA236" i="11"/>
  <c r="AB237" i="11"/>
  <c r="AC237" i="11" s="1"/>
  <c r="AA237" i="11"/>
  <c r="AB238" i="11"/>
  <c r="AC238" i="11" s="1"/>
  <c r="AA238" i="11"/>
  <c r="AB239" i="11"/>
  <c r="AC239" i="11" s="1"/>
  <c r="AA239" i="11"/>
  <c r="AB240" i="11"/>
  <c r="AC240" i="11" s="1"/>
  <c r="AA240" i="11"/>
  <c r="AB241" i="11"/>
  <c r="AC241" i="11" s="1"/>
  <c r="AA241" i="11"/>
  <c r="AB242" i="11"/>
  <c r="AC242" i="11" s="1"/>
  <c r="AA242" i="11"/>
  <c r="AB243" i="11"/>
  <c r="AC243" i="11" s="1"/>
  <c r="AA243" i="11"/>
  <c r="AB244" i="11"/>
  <c r="AC244" i="11" s="1"/>
  <c r="AA244" i="11"/>
  <c r="AB245" i="11"/>
  <c r="AC245" i="11" s="1"/>
  <c r="AA245" i="11"/>
  <c r="AB246" i="11"/>
  <c r="AC246" i="11" s="1"/>
  <c r="AA246" i="11"/>
  <c r="AB247" i="11"/>
  <c r="AC247" i="11" s="1"/>
  <c r="AA247" i="11"/>
  <c r="AB248" i="11"/>
  <c r="AC248" i="11" s="1"/>
  <c r="AA248" i="11"/>
  <c r="AB249" i="11"/>
  <c r="AC249" i="11" s="1"/>
  <c r="AA249" i="11"/>
  <c r="AB250" i="11"/>
  <c r="AC250" i="11" s="1"/>
  <c r="AA250" i="11"/>
  <c r="AB251" i="11"/>
  <c r="AC251" i="11" s="1"/>
  <c r="AA251" i="11"/>
  <c r="AB252" i="11"/>
  <c r="AC252" i="11" s="1"/>
  <c r="AA252" i="11"/>
  <c r="AB253" i="11"/>
  <c r="AC253" i="11" s="1"/>
  <c r="AA253" i="11"/>
  <c r="AB254" i="11"/>
  <c r="AC254" i="11" s="1"/>
  <c r="AA254" i="11"/>
  <c r="AB255" i="11"/>
  <c r="AC255" i="11" s="1"/>
  <c r="AA255" i="11"/>
  <c r="AB256" i="11"/>
  <c r="AC256" i="11" s="1"/>
  <c r="AA256" i="11"/>
  <c r="AB257" i="11"/>
  <c r="AC257" i="11" s="1"/>
  <c r="AA257" i="11"/>
  <c r="AB258" i="11"/>
  <c r="AC258" i="11" s="1"/>
  <c r="AA258" i="11"/>
  <c r="AB259" i="11"/>
  <c r="AC259" i="11" s="1"/>
  <c r="AA259" i="11"/>
  <c r="AB260" i="11"/>
  <c r="AC260" i="11" s="1"/>
  <c r="AA260" i="11"/>
  <c r="AB261" i="11"/>
  <c r="AC261" i="11" s="1"/>
  <c r="AA261" i="11"/>
  <c r="AB262" i="11"/>
  <c r="AC262" i="11" s="1"/>
  <c r="AA262" i="11"/>
  <c r="AB263" i="11"/>
  <c r="AC263" i="11" s="1"/>
  <c r="AA263" i="11"/>
  <c r="AB264" i="11"/>
  <c r="AC264" i="11" s="1"/>
  <c r="AA264" i="11"/>
  <c r="AB265" i="11"/>
  <c r="AC265" i="11" s="1"/>
  <c r="AA265" i="11"/>
  <c r="AB266" i="11"/>
  <c r="AC266" i="11" s="1"/>
  <c r="AA266" i="11"/>
  <c r="AB267" i="11"/>
  <c r="AC267" i="11" s="1"/>
  <c r="AA267" i="11"/>
  <c r="AB268" i="11"/>
  <c r="AC268" i="11" s="1"/>
  <c r="AA268" i="11"/>
  <c r="AB269" i="11"/>
  <c r="AC269" i="11" s="1"/>
  <c r="AA269" i="11"/>
  <c r="AB270" i="11"/>
  <c r="AC270" i="11" s="1"/>
  <c r="AA270" i="11"/>
  <c r="AB271" i="11"/>
  <c r="AC271" i="11" s="1"/>
  <c r="AA271" i="11"/>
  <c r="AB272" i="11"/>
  <c r="AC272" i="11" s="1"/>
  <c r="AA272" i="11"/>
  <c r="AB273" i="11"/>
  <c r="AC273" i="11" s="1"/>
  <c r="AA273" i="11"/>
  <c r="AB274" i="11"/>
  <c r="AC274" i="11" s="1"/>
  <c r="AA274" i="11"/>
  <c r="AB275" i="11"/>
  <c r="AC275" i="11" s="1"/>
  <c r="AA275" i="11"/>
  <c r="AB276" i="11"/>
  <c r="AC276" i="11" s="1"/>
  <c r="AA276" i="11"/>
  <c r="AB277" i="11"/>
  <c r="AC277" i="11" s="1"/>
  <c r="AA277" i="11"/>
  <c r="AB278" i="11"/>
  <c r="AC278" i="11" s="1"/>
  <c r="AA278" i="11"/>
  <c r="AB279" i="11"/>
  <c r="AC279" i="11" s="1"/>
  <c r="AA279" i="11"/>
  <c r="AB280" i="11"/>
  <c r="AC280" i="11" s="1"/>
  <c r="AA280" i="11"/>
  <c r="AB281" i="11"/>
  <c r="AC281" i="11" s="1"/>
  <c r="AA281" i="11"/>
  <c r="AB282" i="11"/>
  <c r="AC282" i="11" s="1"/>
  <c r="AA282" i="11"/>
  <c r="AB283" i="11"/>
  <c r="AC283" i="11" s="1"/>
  <c r="AA283" i="11"/>
  <c r="AB284" i="11"/>
  <c r="AC284" i="11" s="1"/>
  <c r="AA284" i="11"/>
  <c r="AB285" i="11"/>
  <c r="AC285" i="11" s="1"/>
  <c r="AA285" i="11"/>
  <c r="AB286" i="11"/>
  <c r="AC286" i="11" s="1"/>
  <c r="AA286" i="11"/>
  <c r="AB287" i="11"/>
  <c r="AC287" i="11" s="1"/>
  <c r="AA287" i="11"/>
  <c r="AB288" i="11"/>
  <c r="AC288" i="11" s="1"/>
  <c r="AA288" i="11"/>
  <c r="AB289" i="11"/>
  <c r="AC289" i="11" s="1"/>
  <c r="AA289" i="11"/>
  <c r="AB290" i="11"/>
  <c r="AC290" i="11" s="1"/>
  <c r="AA290" i="11"/>
  <c r="AB291" i="11"/>
  <c r="AC291" i="11" s="1"/>
  <c r="AA291" i="11"/>
  <c r="AB292" i="11"/>
  <c r="AC292" i="11" s="1"/>
  <c r="AA292" i="11"/>
  <c r="AB293" i="11"/>
  <c r="AC293" i="11" s="1"/>
  <c r="AA293" i="11"/>
  <c r="AB294" i="11"/>
  <c r="AC294" i="11" s="1"/>
  <c r="AA294" i="11"/>
  <c r="AB295" i="11"/>
  <c r="AC295" i="11" s="1"/>
  <c r="AA295" i="11"/>
  <c r="AB296" i="11"/>
  <c r="AC296" i="11" s="1"/>
  <c r="AA296" i="11"/>
  <c r="AB297" i="11"/>
  <c r="AC297" i="11" s="1"/>
  <c r="AA297" i="11"/>
  <c r="AB298" i="11"/>
  <c r="AC298" i="11" s="1"/>
  <c r="AA298" i="11"/>
  <c r="AB299" i="11"/>
  <c r="AC299" i="11" s="1"/>
  <c r="AA299" i="11"/>
  <c r="AB300" i="11"/>
  <c r="AC300" i="11" s="1"/>
  <c r="AA300" i="11"/>
  <c r="AB301" i="11"/>
  <c r="AC301" i="11" s="1"/>
  <c r="AA301" i="11"/>
  <c r="AB302" i="11"/>
  <c r="AC302" i="11" s="1"/>
  <c r="AA302" i="11"/>
  <c r="AB303" i="11"/>
  <c r="AC303" i="11" s="1"/>
  <c r="AA303" i="11"/>
  <c r="AB304" i="11"/>
  <c r="AC304" i="11" s="1"/>
  <c r="AA304" i="11"/>
  <c r="AB305" i="11"/>
  <c r="AC305" i="11" s="1"/>
  <c r="AA305" i="11"/>
  <c r="AB306" i="11"/>
  <c r="AC306" i="11" s="1"/>
  <c r="AA306" i="11"/>
  <c r="AB307" i="11"/>
  <c r="AC307" i="11" s="1"/>
  <c r="AA307" i="11"/>
  <c r="AB308" i="11"/>
  <c r="AC308" i="11" s="1"/>
  <c r="AA308" i="11"/>
  <c r="AB309" i="11"/>
  <c r="AC309" i="11" s="1"/>
  <c r="AA309" i="11"/>
  <c r="AB310" i="11"/>
  <c r="AC310" i="11" s="1"/>
  <c r="AA310" i="11"/>
  <c r="AB311" i="11"/>
  <c r="AC311" i="11" s="1"/>
  <c r="AA311" i="11"/>
  <c r="AB312" i="11"/>
  <c r="AC312" i="11" s="1"/>
  <c r="AA312" i="11"/>
  <c r="AB313" i="11"/>
  <c r="AC313" i="11" s="1"/>
  <c r="AA313" i="11"/>
  <c r="AB314" i="11"/>
  <c r="AC314" i="11" s="1"/>
  <c r="AA314" i="11"/>
  <c r="AB315" i="11"/>
  <c r="AC315" i="11" s="1"/>
  <c r="AA315" i="11"/>
  <c r="AB316" i="11"/>
  <c r="AC316" i="11" s="1"/>
  <c r="AA316" i="11"/>
  <c r="AB317" i="11"/>
  <c r="AC317" i="11" s="1"/>
  <c r="AA317" i="11"/>
  <c r="AB318" i="11"/>
  <c r="AC318" i="11" s="1"/>
  <c r="AA318" i="11"/>
  <c r="AB319" i="11"/>
  <c r="AC319" i="11" s="1"/>
  <c r="AA319" i="11"/>
  <c r="AB320" i="11"/>
  <c r="AC320" i="11" s="1"/>
  <c r="AA320" i="11"/>
  <c r="AB321" i="11"/>
  <c r="AC321" i="11" s="1"/>
  <c r="AA321" i="11"/>
  <c r="AB322" i="11"/>
  <c r="AC322" i="11" s="1"/>
  <c r="AA322" i="11"/>
  <c r="AB323" i="11"/>
  <c r="AC323" i="11" s="1"/>
  <c r="AA323" i="11"/>
  <c r="AB324" i="11"/>
  <c r="AC324" i="11" s="1"/>
  <c r="AA324" i="11"/>
  <c r="AB325" i="11"/>
  <c r="AC325" i="11" s="1"/>
  <c r="AA325" i="11"/>
  <c r="AB326" i="11"/>
  <c r="AC326" i="11" s="1"/>
  <c r="AA326" i="11"/>
  <c r="AB327" i="11"/>
  <c r="AC327" i="11" s="1"/>
  <c r="AA327" i="11"/>
  <c r="AB328" i="11"/>
  <c r="AC328" i="11" s="1"/>
  <c r="AA328" i="11"/>
  <c r="AB329" i="11"/>
  <c r="AC329" i="11" s="1"/>
  <c r="AA329" i="11"/>
  <c r="AB330" i="11"/>
  <c r="AC330" i="11" s="1"/>
  <c r="AA330" i="11"/>
  <c r="AB331" i="11"/>
  <c r="AC331" i="11" s="1"/>
  <c r="AA331" i="11"/>
  <c r="AB332" i="11"/>
  <c r="AC332" i="11" s="1"/>
  <c r="AA332" i="11"/>
  <c r="AB333" i="11"/>
  <c r="AC333" i="11" s="1"/>
  <c r="AA333" i="11"/>
  <c r="AB334" i="11"/>
  <c r="AC334" i="11" s="1"/>
  <c r="AA334" i="11"/>
  <c r="AB335" i="11"/>
  <c r="AC335" i="11" s="1"/>
  <c r="AA335" i="11"/>
  <c r="AB336" i="11"/>
  <c r="AC336" i="11" s="1"/>
  <c r="AA336" i="11"/>
  <c r="AB337" i="11"/>
  <c r="AC337" i="11" s="1"/>
  <c r="AA337" i="11"/>
  <c r="AB338" i="11"/>
  <c r="AC338" i="11" s="1"/>
  <c r="AA338" i="11"/>
  <c r="AB339" i="11"/>
  <c r="AC339" i="11" s="1"/>
  <c r="AA339" i="11"/>
  <c r="AB340" i="11"/>
  <c r="AC340" i="11" s="1"/>
  <c r="AA340" i="11"/>
  <c r="AB341" i="11"/>
  <c r="AC341" i="11" s="1"/>
  <c r="AA341" i="11"/>
  <c r="AB342" i="11"/>
  <c r="AC342" i="11" s="1"/>
  <c r="AA342" i="11"/>
  <c r="AB343" i="11"/>
  <c r="AC343" i="11" s="1"/>
  <c r="AA343" i="11"/>
  <c r="AB344" i="11"/>
  <c r="AC344" i="11" s="1"/>
  <c r="AA344" i="11"/>
  <c r="AB345" i="11"/>
  <c r="AC345" i="11" s="1"/>
  <c r="AA345" i="11"/>
  <c r="AB346" i="11"/>
  <c r="AC346" i="11" s="1"/>
  <c r="AA346" i="11"/>
  <c r="AB347" i="11"/>
  <c r="AC347" i="11" s="1"/>
  <c r="AA347" i="11"/>
  <c r="AB348" i="11"/>
  <c r="AC348" i="11" s="1"/>
  <c r="AA348" i="11"/>
  <c r="AB349" i="11"/>
  <c r="AC349" i="11" s="1"/>
  <c r="AA349" i="11"/>
  <c r="AB350" i="11"/>
  <c r="AC350" i="11" s="1"/>
  <c r="AA350" i="11"/>
  <c r="AB351" i="11"/>
  <c r="AC351" i="11" s="1"/>
  <c r="AA351" i="11"/>
  <c r="AB352" i="11"/>
  <c r="AC352" i="11" s="1"/>
  <c r="AA352" i="11"/>
  <c r="AB353" i="11"/>
  <c r="AC353" i="11" s="1"/>
  <c r="AA353" i="11"/>
  <c r="AB354" i="11"/>
  <c r="AC354" i="11" s="1"/>
  <c r="AA354" i="11"/>
  <c r="AB355" i="11"/>
  <c r="AC355" i="11" s="1"/>
  <c r="AA355" i="11"/>
  <c r="AB356" i="11"/>
  <c r="AC356" i="11" s="1"/>
  <c r="AA356" i="11"/>
  <c r="AB357" i="11"/>
  <c r="AC357" i="11" s="1"/>
  <c r="AA357" i="11"/>
  <c r="AB358" i="11"/>
  <c r="AC358" i="11" s="1"/>
  <c r="AA358" i="11"/>
  <c r="AB359" i="11"/>
  <c r="AC359" i="11" s="1"/>
  <c r="AA359" i="11"/>
  <c r="AB360" i="11"/>
  <c r="AC360" i="11" s="1"/>
  <c r="AA360" i="11"/>
  <c r="AB361" i="11"/>
  <c r="AC361" i="11" s="1"/>
  <c r="AA361" i="11"/>
  <c r="AB362" i="11"/>
  <c r="AC362" i="11" s="1"/>
  <c r="AA362" i="11"/>
  <c r="AB363" i="11"/>
  <c r="AC363" i="11" s="1"/>
  <c r="AA363" i="11"/>
  <c r="AB364" i="11"/>
  <c r="AC364" i="11" s="1"/>
  <c r="AA364" i="11"/>
  <c r="AB365" i="11"/>
  <c r="AC365" i="11" s="1"/>
  <c r="AA365" i="11"/>
  <c r="AB366" i="11"/>
  <c r="AC366" i="11" s="1"/>
  <c r="AA366" i="11"/>
  <c r="AB367" i="11"/>
  <c r="AC367" i="11" s="1"/>
  <c r="AA367" i="11"/>
  <c r="AB368" i="11"/>
  <c r="AC368" i="11" s="1"/>
  <c r="AA368" i="11"/>
  <c r="AB369" i="11"/>
  <c r="AC369" i="11" s="1"/>
  <c r="AA369" i="11"/>
  <c r="AB370" i="11"/>
  <c r="AC370" i="11" s="1"/>
  <c r="AA370" i="11"/>
  <c r="AB371" i="11"/>
  <c r="AC371" i="11" s="1"/>
  <c r="AA371" i="11"/>
  <c r="AB372" i="11"/>
  <c r="AC372" i="11" s="1"/>
  <c r="AA372" i="11"/>
  <c r="AB373" i="11"/>
  <c r="AC373" i="11" s="1"/>
  <c r="AA373" i="11"/>
  <c r="AB374" i="11"/>
  <c r="AC374" i="11" s="1"/>
  <c r="AA374" i="11"/>
  <c r="AB375" i="11"/>
  <c r="AC375" i="11" s="1"/>
  <c r="AA375" i="11"/>
  <c r="AB376" i="11"/>
  <c r="AC376" i="11" s="1"/>
  <c r="AA376" i="11"/>
  <c r="AB377" i="11"/>
  <c r="AC377" i="11" s="1"/>
  <c r="AA377" i="11"/>
  <c r="AB378" i="11"/>
  <c r="AC378" i="11" s="1"/>
  <c r="AA378" i="11"/>
  <c r="AB379" i="11"/>
  <c r="AC379" i="11" s="1"/>
  <c r="AA379" i="11"/>
  <c r="AB380" i="11"/>
  <c r="AC380" i="11" s="1"/>
  <c r="AA380" i="11"/>
  <c r="AB381" i="11"/>
  <c r="AC381" i="11" s="1"/>
  <c r="AA381" i="11"/>
  <c r="AB382" i="11"/>
  <c r="AC382" i="11" s="1"/>
  <c r="AA382" i="11"/>
  <c r="AB383" i="11"/>
  <c r="AC383" i="11" s="1"/>
  <c r="AA383" i="11"/>
  <c r="AB384" i="11"/>
  <c r="AC384" i="11" s="1"/>
  <c r="AA384" i="11"/>
  <c r="AB385" i="11"/>
  <c r="AC385" i="11" s="1"/>
  <c r="AA385" i="11"/>
  <c r="AB386" i="11"/>
  <c r="AC386" i="11" s="1"/>
  <c r="AA386" i="11"/>
  <c r="AB387" i="11"/>
  <c r="AC387" i="11" s="1"/>
  <c r="AA387" i="11"/>
  <c r="AB388" i="11"/>
  <c r="AC388" i="11" s="1"/>
  <c r="AA388" i="11"/>
  <c r="AB389" i="11"/>
  <c r="AC389" i="11" s="1"/>
  <c r="AA389" i="11"/>
  <c r="AB390" i="11"/>
  <c r="AC390" i="11" s="1"/>
  <c r="AA390" i="11"/>
  <c r="AB391" i="11"/>
  <c r="AC391" i="11" s="1"/>
  <c r="AA391" i="11"/>
  <c r="AB392" i="11"/>
  <c r="AC392" i="11" s="1"/>
  <c r="AA392" i="11"/>
  <c r="AB393" i="11"/>
  <c r="AC393" i="11" s="1"/>
  <c r="AA393" i="11"/>
  <c r="AB394" i="11"/>
  <c r="AC394" i="11" s="1"/>
  <c r="AA394" i="11"/>
  <c r="AB395" i="11"/>
  <c r="AC395" i="11" s="1"/>
  <c r="AA395" i="11"/>
  <c r="AB396" i="11"/>
  <c r="AC396" i="11" s="1"/>
  <c r="AA396" i="11"/>
  <c r="AB397" i="11"/>
  <c r="AC397" i="11" s="1"/>
  <c r="AA397" i="11"/>
  <c r="AB398" i="11"/>
  <c r="AC398" i="11" s="1"/>
  <c r="AA398" i="11"/>
  <c r="AB399" i="11"/>
  <c r="AC399" i="11" s="1"/>
  <c r="AA399" i="11"/>
  <c r="AB400" i="11"/>
  <c r="AC400" i="11" s="1"/>
  <c r="AA400" i="11"/>
  <c r="AB401" i="11"/>
  <c r="AC401" i="11" s="1"/>
  <c r="AA401" i="11"/>
  <c r="AB402" i="11"/>
  <c r="AC402" i="11" s="1"/>
  <c r="AA402" i="11"/>
  <c r="AB403" i="11"/>
  <c r="AC403" i="11" s="1"/>
  <c r="AA403" i="11"/>
  <c r="AB404" i="11"/>
  <c r="AC404" i="11" s="1"/>
  <c r="AA404" i="11"/>
  <c r="AB405" i="11"/>
  <c r="AC405" i="11" s="1"/>
  <c r="AA405" i="11"/>
  <c r="AB406" i="11"/>
  <c r="AC406" i="11" s="1"/>
  <c r="AA406" i="11"/>
  <c r="AB407" i="11"/>
  <c r="AC407" i="11" s="1"/>
  <c r="AA407" i="11"/>
  <c r="AB408" i="11"/>
  <c r="AC408" i="11" s="1"/>
  <c r="AA408" i="11"/>
  <c r="AB409" i="11"/>
  <c r="AC409" i="11" s="1"/>
  <c r="AA409" i="11"/>
  <c r="AB410" i="11"/>
  <c r="AC410" i="11" s="1"/>
  <c r="AA410" i="11"/>
  <c r="AB411" i="11"/>
  <c r="AC411" i="11" s="1"/>
  <c r="AA411" i="11"/>
  <c r="AB412" i="11"/>
  <c r="AC412" i="11" s="1"/>
  <c r="AA412" i="11"/>
  <c r="AB413" i="11"/>
  <c r="AC413" i="11" s="1"/>
  <c r="AA413" i="11"/>
  <c r="AB414" i="11"/>
  <c r="AC414" i="11" s="1"/>
  <c r="AA414" i="11"/>
  <c r="AB415" i="11"/>
  <c r="AC415" i="11" s="1"/>
  <c r="AA415" i="11"/>
  <c r="AB416" i="11"/>
  <c r="AC416" i="11" s="1"/>
  <c r="AA416" i="11"/>
  <c r="AB417" i="11"/>
  <c r="AC417" i="11" s="1"/>
  <c r="AA417" i="11"/>
  <c r="AB418" i="11"/>
  <c r="AC418" i="11" s="1"/>
  <c r="AA418" i="11"/>
  <c r="AB419" i="11"/>
  <c r="AC419" i="11" s="1"/>
  <c r="AA419" i="11"/>
  <c r="AB420" i="11"/>
  <c r="AC420" i="11" s="1"/>
  <c r="AA420" i="11"/>
  <c r="AB421" i="11"/>
  <c r="AC421" i="11" s="1"/>
  <c r="AA421" i="11"/>
  <c r="AB422" i="11"/>
  <c r="AC422" i="11" s="1"/>
  <c r="AA422" i="11"/>
  <c r="AB423" i="11"/>
  <c r="AC423" i="11" s="1"/>
  <c r="AA423" i="11"/>
  <c r="AB424" i="11"/>
  <c r="AC424" i="11" s="1"/>
  <c r="AA424" i="11"/>
  <c r="AB425" i="11"/>
  <c r="AC425" i="11" s="1"/>
  <c r="AA425" i="11"/>
  <c r="AB426" i="11"/>
  <c r="AC426" i="11" s="1"/>
  <c r="AA426" i="11"/>
  <c r="AB427" i="11"/>
  <c r="AC427" i="11" s="1"/>
  <c r="AA427" i="11"/>
  <c r="AB428" i="11"/>
  <c r="AC428" i="11" s="1"/>
  <c r="AA428" i="11"/>
  <c r="AB429" i="11"/>
  <c r="AC429" i="11" s="1"/>
  <c r="AA429" i="11"/>
  <c r="AB430" i="11"/>
  <c r="AC430" i="11" s="1"/>
  <c r="AA430" i="11"/>
  <c r="AB431" i="11"/>
  <c r="AC431" i="11" s="1"/>
  <c r="AA431" i="11"/>
  <c r="AB432" i="11"/>
  <c r="AC432" i="11" s="1"/>
  <c r="AA432" i="11"/>
  <c r="AB433" i="11"/>
  <c r="AC433" i="11" s="1"/>
  <c r="AA433" i="11"/>
  <c r="AB434" i="11"/>
  <c r="AC434" i="11" s="1"/>
  <c r="AA434" i="11"/>
  <c r="AB435" i="11"/>
  <c r="AC435" i="11" s="1"/>
  <c r="AA435" i="11"/>
  <c r="AB436" i="11"/>
  <c r="AC436" i="11" s="1"/>
  <c r="AA436" i="11"/>
  <c r="AB437" i="11"/>
  <c r="AC437" i="11" s="1"/>
  <c r="AA437" i="11"/>
  <c r="AB438" i="11"/>
  <c r="AC438" i="11" s="1"/>
  <c r="AA438" i="11"/>
  <c r="AB439" i="11"/>
  <c r="AC439" i="11" s="1"/>
  <c r="AA439" i="11"/>
  <c r="AB440" i="11"/>
  <c r="AC440" i="11" s="1"/>
  <c r="AA440" i="11"/>
  <c r="AB441" i="11"/>
  <c r="AC441" i="11" s="1"/>
  <c r="AA441" i="11"/>
  <c r="A107" i="11" l="1" a="1"/>
  <c r="A107" i="11" s="1"/>
  <c r="B107" i="11" a="1"/>
  <c r="B107" i="11" s="1"/>
  <c r="B108" i="11" a="1"/>
  <c r="B108" i="11" s="1"/>
  <c r="B119" i="11" a="1"/>
  <c r="B119" i="11" s="1"/>
  <c r="A119" i="11" a="1"/>
  <c r="A119" i="11" s="1"/>
  <c r="A108" i="11" a="1"/>
  <c r="A108" i="11" s="1"/>
  <c r="B114" i="11" a="1"/>
  <c r="B114" i="11" s="1"/>
  <c r="A114" i="11" a="1"/>
  <c r="A114" i="11" s="1"/>
  <c r="AC173" i="11"/>
  <c r="AC171" i="11"/>
  <c r="AC169" i="11"/>
  <c r="AC167" i="11"/>
  <c r="AC165" i="11"/>
  <c r="AC163" i="11"/>
  <c r="AC161" i="11"/>
  <c r="AC159" i="11"/>
  <c r="AC157" i="11"/>
  <c r="AC155" i="11"/>
  <c r="AC153" i="11"/>
  <c r="AC151" i="11"/>
  <c r="AC149" i="11"/>
  <c r="AC147" i="11"/>
  <c r="AC145" i="11"/>
  <c r="AC143" i="11"/>
  <c r="AC141" i="11"/>
  <c r="AC139" i="11"/>
  <c r="AC137" i="11"/>
  <c r="AC135" i="11"/>
  <c r="AC133" i="11"/>
  <c r="AC131" i="11"/>
  <c r="AC129" i="11"/>
  <c r="AC127" i="11"/>
  <c r="AC125" i="11"/>
  <c r="AC123" i="11"/>
  <c r="AC121" i="11"/>
  <c r="AC119" i="11"/>
  <c r="AC117" i="11"/>
  <c r="AC115" i="11"/>
  <c r="AC113" i="11"/>
  <c r="AC111" i="11"/>
  <c r="AC109" i="11"/>
  <c r="AC107" i="11"/>
  <c r="AC105" i="11"/>
  <c r="AC103" i="11"/>
  <c r="AC101" i="11"/>
  <c r="AC99" i="11"/>
  <c r="AC97" i="11"/>
  <c r="AC95" i="11"/>
  <c r="AC93" i="11"/>
  <c r="AC91" i="11"/>
  <c r="AC89" i="11"/>
  <c r="AC87" i="11"/>
  <c r="AC85" i="11"/>
  <c r="AC83" i="11"/>
  <c r="AC81" i="11"/>
  <c r="AC79" i="11"/>
  <c r="AC77" i="11"/>
  <c r="AC75" i="11"/>
  <c r="AC73" i="11"/>
  <c r="AC71" i="11"/>
  <c r="AC69" i="11"/>
  <c r="AC67" i="11"/>
  <c r="AC65" i="11"/>
  <c r="AC63" i="11"/>
  <c r="AC61" i="11"/>
  <c r="AC59" i="11"/>
  <c r="AC57" i="11"/>
  <c r="AC55" i="11"/>
  <c r="AC53" i="11"/>
  <c r="AC51" i="11"/>
  <c r="AC49" i="11"/>
  <c r="AC47" i="11"/>
  <c r="AC45" i="11"/>
  <c r="AC43" i="11"/>
  <c r="AC41" i="11"/>
  <c r="AC39" i="11"/>
  <c r="AC37" i="11"/>
  <c r="AC35" i="11"/>
  <c r="AC33" i="11"/>
  <c r="AC31" i="11"/>
  <c r="AC29" i="11"/>
  <c r="AC25" i="11"/>
  <c r="AC21" i="11"/>
  <c r="AC17" i="11"/>
  <c r="Z441" i="11" a="1"/>
  <c r="Z441" i="11" s="1"/>
  <c r="Z439" i="11" a="1"/>
  <c r="Z439" i="11" s="1"/>
  <c r="Z437" i="11" a="1"/>
  <c r="Z437" i="11" s="1"/>
  <c r="Z435" i="11" a="1"/>
  <c r="Z435" i="11" s="1"/>
  <c r="Z433" i="11" a="1"/>
  <c r="Z433" i="11" s="1"/>
  <c r="Z431" i="11" a="1"/>
  <c r="Z431" i="11" s="1"/>
  <c r="Z429" i="11" a="1"/>
  <c r="Z429" i="11" s="1"/>
  <c r="Z427" i="11" a="1"/>
  <c r="Z427" i="11" s="1"/>
  <c r="Z425" i="11" a="1"/>
  <c r="Z425" i="11" s="1"/>
  <c r="Z423" i="11" a="1"/>
  <c r="Z423" i="11" s="1"/>
  <c r="Z421" i="11" a="1"/>
  <c r="Z421" i="11" s="1"/>
  <c r="Z419" i="11" a="1"/>
  <c r="Z419" i="11" s="1"/>
  <c r="Z417" i="11" a="1"/>
  <c r="Z417" i="11" s="1"/>
  <c r="Z415" i="11" a="1"/>
  <c r="Z415" i="11" s="1"/>
  <c r="Z413" i="11" a="1"/>
  <c r="Z413" i="11" s="1"/>
  <c r="Z411" i="11" a="1"/>
  <c r="Z411" i="11" s="1"/>
  <c r="Z409" i="11" a="1"/>
  <c r="Z409" i="11" s="1"/>
  <c r="Z407" i="11" a="1"/>
  <c r="Z407" i="11" s="1"/>
  <c r="Z405" i="11" a="1"/>
  <c r="Z405" i="11" s="1"/>
  <c r="Z403" i="11" a="1"/>
  <c r="Z403" i="11" s="1"/>
  <c r="Z401" i="11" a="1"/>
  <c r="Z401" i="11" s="1"/>
  <c r="Z399" i="11" a="1"/>
  <c r="Z399" i="11" s="1"/>
  <c r="Z397" i="11" a="1"/>
  <c r="Z397" i="11" s="1"/>
  <c r="Z395" i="11" a="1"/>
  <c r="Z395" i="11" s="1"/>
  <c r="Z393" i="11" a="1"/>
  <c r="Z393" i="11" s="1"/>
  <c r="Z391" i="11" a="1"/>
  <c r="Z391" i="11" s="1"/>
  <c r="Z389" i="11" a="1"/>
  <c r="Z389" i="11" s="1"/>
  <c r="Z387" i="11" a="1"/>
  <c r="Z387" i="11" s="1"/>
  <c r="Z385" i="11" a="1"/>
  <c r="Z385" i="11" s="1"/>
  <c r="Z383" i="11" a="1"/>
  <c r="Z383" i="11" s="1"/>
  <c r="Z381" i="11" a="1"/>
  <c r="Z381" i="11" s="1"/>
  <c r="Z379" i="11" a="1"/>
  <c r="Z379" i="11" s="1"/>
  <c r="Z377" i="11" a="1"/>
  <c r="Z377" i="11" s="1"/>
  <c r="Z375" i="11" a="1"/>
  <c r="Z375" i="11" s="1"/>
  <c r="Z373" i="11" a="1"/>
  <c r="Z373" i="11" s="1"/>
  <c r="Z371" i="11" a="1"/>
  <c r="Z371" i="11" s="1"/>
  <c r="Z369" i="11" a="1"/>
  <c r="Z369" i="11" s="1"/>
  <c r="Z367" i="11" a="1"/>
  <c r="Z367" i="11" s="1"/>
  <c r="Z365" i="11" a="1"/>
  <c r="Z365" i="11" s="1"/>
  <c r="Z363" i="11" a="1"/>
  <c r="Z363" i="11" s="1"/>
  <c r="Z361" i="11" a="1"/>
  <c r="Z361" i="11" s="1"/>
  <c r="Z359" i="11" a="1"/>
  <c r="Z359" i="11" s="1"/>
  <c r="Z357" i="11" a="1"/>
  <c r="Z357" i="11" s="1"/>
  <c r="Z355" i="11" a="1"/>
  <c r="Z355" i="11" s="1"/>
  <c r="Z353" i="11" a="1"/>
  <c r="Z353" i="11" s="1"/>
  <c r="Z351" i="11" a="1"/>
  <c r="Z351" i="11" s="1"/>
  <c r="Z349" i="11" a="1"/>
  <c r="Z349" i="11" s="1"/>
  <c r="Z347" i="11" a="1"/>
  <c r="Z347" i="11" s="1"/>
  <c r="Z345" i="11" a="1"/>
  <c r="Z345" i="11" s="1"/>
  <c r="Z343" i="11" a="1"/>
  <c r="Z343" i="11" s="1"/>
  <c r="Z341" i="11" a="1"/>
  <c r="Z341" i="11" s="1"/>
  <c r="Z339" i="11" a="1"/>
  <c r="Z339" i="11" s="1"/>
  <c r="Z337" i="11" a="1"/>
  <c r="Z337" i="11" s="1"/>
  <c r="Z335" i="11" a="1"/>
  <c r="Z335" i="11" s="1"/>
  <c r="Z333" i="11" a="1"/>
  <c r="Z333" i="11" s="1"/>
  <c r="Z331" i="11" a="1"/>
  <c r="Z331" i="11" s="1"/>
  <c r="Z329" i="11" a="1"/>
  <c r="Z329" i="11" s="1"/>
  <c r="Z327" i="11" a="1"/>
  <c r="Z327" i="11" s="1"/>
  <c r="Z325" i="11" a="1"/>
  <c r="Z325" i="11" s="1"/>
  <c r="Z323" i="11" a="1"/>
  <c r="Z323" i="11" s="1"/>
  <c r="Z321" i="11" a="1"/>
  <c r="Z321" i="11" s="1"/>
  <c r="Z319" i="11" a="1"/>
  <c r="Z319" i="11" s="1"/>
  <c r="Z317" i="11" a="1"/>
  <c r="Z317" i="11" s="1"/>
  <c r="Z315" i="11" a="1"/>
  <c r="Z315" i="11" s="1"/>
  <c r="Z313" i="11" a="1"/>
  <c r="Z313" i="11" s="1"/>
  <c r="Z311" i="11" a="1"/>
  <c r="Z311" i="11" s="1"/>
  <c r="Z309" i="11" a="1"/>
  <c r="Z309" i="11" s="1"/>
  <c r="Z307" i="11" a="1"/>
  <c r="Z307" i="11" s="1"/>
  <c r="Z305" i="11" a="1"/>
  <c r="Z305" i="11" s="1"/>
  <c r="Z303" i="11" a="1"/>
  <c r="Z303" i="11" s="1"/>
  <c r="Z301" i="11" a="1"/>
  <c r="Z301" i="11" s="1"/>
  <c r="Z299" i="11" a="1"/>
  <c r="Z299" i="11" s="1"/>
  <c r="Z297" i="11" a="1"/>
  <c r="Z297" i="11" s="1"/>
  <c r="Z295" i="11" a="1"/>
  <c r="Z295" i="11" s="1"/>
  <c r="Z293" i="11" a="1"/>
  <c r="Z293" i="11" s="1"/>
  <c r="Z291" i="11" a="1"/>
  <c r="Z291" i="11" s="1"/>
  <c r="Z289" i="11" a="1"/>
  <c r="Z289" i="11" s="1"/>
  <c r="Z287" i="11" a="1"/>
  <c r="Z287" i="11" s="1"/>
  <c r="Z285" i="11" a="1"/>
  <c r="Z285" i="11" s="1"/>
  <c r="Z283" i="11" a="1"/>
  <c r="Z283" i="11" s="1"/>
  <c r="Z281" i="11" a="1"/>
  <c r="Z281" i="11" s="1"/>
  <c r="Z279" i="11" a="1"/>
  <c r="Z279" i="11" s="1"/>
  <c r="Z277" i="11" a="1"/>
  <c r="Z277" i="11" s="1"/>
  <c r="Z275" i="11" a="1"/>
  <c r="Z275" i="11" s="1"/>
  <c r="Z273" i="11" a="1"/>
  <c r="Z273" i="11" s="1"/>
  <c r="Z271" i="11" a="1"/>
  <c r="Z271" i="11" s="1"/>
  <c r="Z269" i="11" a="1"/>
  <c r="Z269" i="11" s="1"/>
  <c r="Z267" i="11" a="1"/>
  <c r="Z267" i="11" s="1"/>
  <c r="AC27" i="11"/>
  <c r="AC23" i="11"/>
  <c r="AC19" i="11"/>
  <c r="AC12" i="11"/>
  <c r="AC8" i="11"/>
  <c r="AC4" i="11"/>
  <c r="Z412" i="11" a="1"/>
  <c r="Z412" i="11" s="1"/>
  <c r="Z396" i="11" a="1"/>
  <c r="Z396" i="11" s="1"/>
  <c r="Z380" i="11" a="1"/>
  <c r="Z380" i="11" s="1"/>
  <c r="Z364" i="11" a="1"/>
  <c r="Z364" i="11" s="1"/>
  <c r="Z348" i="11" a="1"/>
  <c r="Z348" i="11" s="1"/>
  <c r="Z308" i="11" a="1"/>
  <c r="Z308" i="11" s="1"/>
  <c r="Z244" i="11" a="1"/>
  <c r="Z244" i="11" s="1"/>
  <c r="Z14" i="11" a="1"/>
  <c r="Z14" i="11" s="1"/>
  <c r="Z12" i="11" a="1"/>
  <c r="Z12" i="11" s="1"/>
  <c r="Z10" i="11" a="1"/>
  <c r="Z10" i="11" s="1"/>
  <c r="Z8" i="11" a="1"/>
  <c r="Z8" i="11" s="1"/>
  <c r="Z6" i="11" a="1"/>
  <c r="Z6" i="11" s="1"/>
  <c r="Z4" i="11" a="1"/>
  <c r="Z4" i="11" s="1"/>
  <c r="Z2" i="11" a="1"/>
  <c r="Z2" i="11" s="1"/>
  <c r="Z15" i="11" a="1"/>
  <c r="Z15" i="11" s="1"/>
  <c r="Z148" i="11" a="1"/>
  <c r="Z148" i="11" s="1"/>
  <c r="Z52" i="11" a="1"/>
  <c r="Z52" i="11" s="1"/>
  <c r="Z20" i="11" a="1"/>
  <c r="Z20" i="11" s="1"/>
  <c r="Z13" i="11" a="1"/>
  <c r="Z13" i="11" s="1"/>
  <c r="Z11" i="11" a="1"/>
  <c r="Z11" i="11" s="1"/>
  <c r="Z9" i="11" a="1"/>
  <c r="Z9" i="11" s="1"/>
  <c r="Z7" i="11" a="1"/>
  <c r="Z7" i="11" s="1"/>
  <c r="Z5" i="11" a="1"/>
  <c r="Z5" i="11" s="1"/>
  <c r="Z3" i="11" a="1"/>
  <c r="Z3" i="11" s="1"/>
  <c r="Z1" i="11" a="1"/>
  <c r="Z1" i="11" s="1"/>
  <c r="Z265" i="11" a="1"/>
  <c r="Z265" i="11" s="1"/>
  <c r="Z263" i="11" a="1"/>
  <c r="Z263" i="11" s="1"/>
  <c r="Z261" i="11" a="1"/>
  <c r="Z261" i="11" s="1"/>
  <c r="Z259" i="11" a="1"/>
  <c r="Z259" i="11" s="1"/>
  <c r="Z257" i="11" a="1"/>
  <c r="Z257" i="11" s="1"/>
  <c r="Z255" i="11" a="1"/>
  <c r="Z255" i="11" s="1"/>
  <c r="Z253" i="11" a="1"/>
  <c r="Z253" i="11" s="1"/>
  <c r="Z251" i="11" a="1"/>
  <c r="Z251" i="11" s="1"/>
  <c r="Z249" i="11" a="1"/>
  <c r="Z249" i="11" s="1"/>
  <c r="Z247" i="11" a="1"/>
  <c r="Z247" i="11" s="1"/>
  <c r="Z245" i="11" a="1"/>
  <c r="Z245" i="11" s="1"/>
  <c r="Z243" i="11" a="1"/>
  <c r="Z243" i="11" s="1"/>
  <c r="Z241" i="11" a="1"/>
  <c r="Z241" i="11" s="1"/>
  <c r="Z239" i="11" a="1"/>
  <c r="Z239" i="11" s="1"/>
  <c r="Z237" i="11" a="1"/>
  <c r="Z237" i="11" s="1"/>
  <c r="Z235" i="11" a="1"/>
  <c r="Z235" i="11" s="1"/>
  <c r="Z233" i="11" a="1"/>
  <c r="Z233" i="11" s="1"/>
  <c r="Z231" i="11" a="1"/>
  <c r="Z231" i="11" s="1"/>
  <c r="Z229" i="11" a="1"/>
  <c r="Z229" i="11" s="1"/>
  <c r="Z227" i="11" a="1"/>
  <c r="Z227" i="11" s="1"/>
  <c r="Z225" i="11" a="1"/>
  <c r="Z225" i="11" s="1"/>
  <c r="Z221" i="11" a="1"/>
  <c r="Z221" i="11" s="1"/>
  <c r="Z219" i="11" a="1"/>
  <c r="Z219" i="11" s="1"/>
  <c r="Z217" i="11" a="1"/>
  <c r="Z217" i="11" s="1"/>
  <c r="Z215" i="11" a="1"/>
  <c r="Z215" i="11" s="1"/>
  <c r="Z213" i="11" a="1"/>
  <c r="Z213" i="11" s="1"/>
  <c r="Z211" i="11" a="1"/>
  <c r="Z211" i="11" s="1"/>
  <c r="Z209" i="11" a="1"/>
  <c r="Z209" i="11" s="1"/>
  <c r="Z207" i="11" a="1"/>
  <c r="Z207" i="11" s="1"/>
  <c r="Z205" i="11" a="1"/>
  <c r="Z205" i="11" s="1"/>
  <c r="Z203" i="11" a="1"/>
  <c r="Z203" i="11" s="1"/>
  <c r="Z201" i="11" a="1"/>
  <c r="Z201" i="11" s="1"/>
  <c r="Z199" i="11" a="1"/>
  <c r="Z199" i="11" s="1"/>
  <c r="Z197" i="11" a="1"/>
  <c r="Z197" i="11" s="1"/>
  <c r="Z195" i="11" a="1"/>
  <c r="Z195" i="11" s="1"/>
  <c r="Z193" i="11" a="1"/>
  <c r="Z193" i="11" s="1"/>
  <c r="Z189" i="11" a="1"/>
  <c r="Z189" i="11" s="1"/>
  <c r="Z187" i="11" a="1"/>
  <c r="Z187" i="11" s="1"/>
  <c r="Z185" i="11" a="1"/>
  <c r="Z185" i="11" s="1"/>
  <c r="Z183" i="11" a="1"/>
  <c r="Z183" i="11" s="1"/>
  <c r="Z181" i="11" a="1"/>
  <c r="Z181" i="11" s="1"/>
  <c r="Z179" i="11" a="1"/>
  <c r="Z179" i="11" s="1"/>
  <c r="Z177" i="11" a="1"/>
  <c r="Z177" i="11" s="1"/>
  <c r="Z175" i="11" a="1"/>
  <c r="Z175" i="11" s="1"/>
  <c r="Z173" i="11" a="1"/>
  <c r="Z173" i="11" s="1"/>
  <c r="Z171" i="11" a="1"/>
  <c r="Z171" i="11" s="1"/>
  <c r="Z169" i="11" a="1"/>
  <c r="Z169" i="11" s="1"/>
  <c r="Z167" i="11" a="1"/>
  <c r="Z167" i="11" s="1"/>
  <c r="Z165" i="11" a="1"/>
  <c r="Z165" i="11" s="1"/>
  <c r="Z163" i="11" a="1"/>
  <c r="Z163" i="11" s="1"/>
  <c r="Z161" i="11" a="1"/>
  <c r="Z161" i="11" s="1"/>
  <c r="Z157" i="11" a="1"/>
  <c r="Z157" i="11" s="1"/>
  <c r="Z155" i="11" a="1"/>
  <c r="Z155" i="11" s="1"/>
  <c r="Z153" i="11" a="1"/>
  <c r="Z153" i="11" s="1"/>
  <c r="Z151" i="11" a="1"/>
  <c r="Z151" i="11" s="1"/>
  <c r="Z149" i="11" a="1"/>
  <c r="Z149" i="11" s="1"/>
  <c r="Z147" i="11" a="1"/>
  <c r="Z147" i="11" s="1"/>
  <c r="Z145" i="11" a="1"/>
  <c r="Z145" i="11" s="1"/>
  <c r="Z416" i="11" a="1"/>
  <c r="Z416" i="11" s="1"/>
  <c r="Z400" i="11" a="1"/>
  <c r="Z400" i="11" s="1"/>
  <c r="Z384" i="11" a="1"/>
  <c r="Z384" i="11" s="1"/>
  <c r="Z352" i="11" a="1"/>
  <c r="Z352" i="11" s="1"/>
  <c r="Z336" i="11" a="1"/>
  <c r="Z336" i="11" s="1"/>
  <c r="Z320" i="11" a="1"/>
  <c r="Z320" i="11" s="1"/>
  <c r="Z288" i="11" a="1"/>
  <c r="Z288" i="11" s="1"/>
  <c r="Z272" i="11" a="1"/>
  <c r="Z272" i="11" s="1"/>
  <c r="Z256" i="11" a="1"/>
  <c r="Z256" i="11" s="1"/>
  <c r="Z224" i="11" a="1"/>
  <c r="Z224" i="11" s="1"/>
  <c r="Z208" i="11" a="1"/>
  <c r="Z208" i="11" s="1"/>
  <c r="Z192" i="11" a="1"/>
  <c r="Z192" i="11" s="1"/>
  <c r="Z160" i="11" a="1"/>
  <c r="Z160" i="11" s="1"/>
  <c r="Z144" i="11" a="1"/>
  <c r="Z144" i="11" s="1"/>
  <c r="Z128" i="11" a="1"/>
  <c r="Z128" i="11" s="1"/>
  <c r="Z120" i="11" a="1"/>
  <c r="Z120" i="11" s="1"/>
  <c r="Z116" i="11" a="1"/>
  <c r="Z116" i="11" s="1"/>
  <c r="Z112" i="11" a="1"/>
  <c r="Z112" i="11" s="1"/>
  <c r="Z104" i="11" a="1"/>
  <c r="Z104" i="11" s="1"/>
  <c r="Z100" i="11" a="1"/>
  <c r="Z100" i="11" s="1"/>
  <c r="Z96" i="11" a="1"/>
  <c r="Z96" i="11" s="1"/>
  <c r="Z92" i="11" a="1"/>
  <c r="Z92" i="11" s="1"/>
  <c r="Z88" i="11" a="1"/>
  <c r="Z88" i="11" s="1"/>
  <c r="Z80" i="11" a="1"/>
  <c r="Z80" i="11" s="1"/>
  <c r="Z76" i="11" a="1"/>
  <c r="Z76" i="11" s="1"/>
  <c r="Z68" i="11" a="1"/>
  <c r="Z68" i="11" s="1"/>
  <c r="Z64" i="11" a="1"/>
  <c r="Z64" i="11" s="1"/>
  <c r="Z60" i="11" a="1"/>
  <c r="Z60" i="11" s="1"/>
  <c r="Z56" i="11" a="1"/>
  <c r="Z56" i="11" s="1"/>
  <c r="Z48" i="11" a="1"/>
  <c r="Z48" i="11" s="1"/>
  <c r="Z44" i="11" a="1"/>
  <c r="Z44" i="11" s="1"/>
  <c r="Z36" i="11" a="1"/>
  <c r="Z36" i="11" s="1"/>
  <c r="Z32" i="11" a="1"/>
  <c r="Z32" i="11" s="1"/>
  <c r="Z28" i="11" a="1"/>
  <c r="Z28" i="11" s="1"/>
  <c r="Z24" i="11" a="1"/>
  <c r="Z24" i="11" s="1"/>
  <c r="Z16" i="11" a="1"/>
  <c r="Z16" i="11" s="1"/>
  <c r="Z143" i="11" a="1"/>
  <c r="Z143" i="11" s="1"/>
  <c r="Z141" i="11" a="1"/>
  <c r="Z141" i="11" s="1"/>
  <c r="Z139" i="11" a="1"/>
  <c r="Z139" i="11" s="1"/>
  <c r="Z137" i="11" a="1"/>
  <c r="Z137" i="11" s="1"/>
  <c r="Z135" i="11" a="1"/>
  <c r="Z135" i="11" s="1"/>
  <c r="Z133" i="11" a="1"/>
  <c r="Z133" i="11" s="1"/>
  <c r="Z131" i="11" a="1"/>
  <c r="Z131" i="11" s="1"/>
  <c r="Z129" i="11" a="1"/>
  <c r="Z129" i="11" s="1"/>
  <c r="Z127" i="11" a="1"/>
  <c r="Z127" i="11" s="1"/>
  <c r="Z125" i="11" a="1"/>
  <c r="Z125" i="11" s="1"/>
  <c r="Z123" i="11" a="1"/>
  <c r="Z123" i="11" s="1"/>
  <c r="Z121" i="11" a="1"/>
  <c r="Z121" i="11" s="1"/>
  <c r="Z119" i="11" a="1"/>
  <c r="Z119" i="11" s="1"/>
  <c r="Z117" i="11" a="1"/>
  <c r="Z117" i="11" s="1"/>
  <c r="Z115" i="11" a="1"/>
  <c r="Z115" i="11" s="1"/>
  <c r="Z113" i="11" a="1"/>
  <c r="Z113" i="11" s="1"/>
  <c r="Z111" i="11" a="1"/>
  <c r="Z111" i="11" s="1"/>
  <c r="Z109" i="11" a="1"/>
  <c r="Z109" i="11" s="1"/>
  <c r="Z107" i="11" a="1"/>
  <c r="Z107" i="11" s="1"/>
  <c r="Z105" i="11" a="1"/>
  <c r="Z105" i="11" s="1"/>
  <c r="Z103" i="11" a="1"/>
  <c r="Z103" i="11" s="1"/>
  <c r="Z101" i="11" a="1"/>
  <c r="Z101" i="11" s="1"/>
  <c r="Z99" i="11" a="1"/>
  <c r="Z99" i="11" s="1"/>
  <c r="Z97" i="11" a="1"/>
  <c r="Z97" i="11" s="1"/>
  <c r="Z95" i="11" a="1"/>
  <c r="Z95" i="11" s="1"/>
  <c r="Z93" i="11" a="1"/>
  <c r="Z93" i="11" s="1"/>
  <c r="Z91" i="11" a="1"/>
  <c r="Z91" i="11" s="1"/>
  <c r="Z89" i="11" a="1"/>
  <c r="Z89" i="11" s="1"/>
  <c r="Z87" i="11" a="1"/>
  <c r="Z87" i="11" s="1"/>
  <c r="Z85" i="11" a="1"/>
  <c r="Z85" i="11" s="1"/>
  <c r="Z83" i="11" a="1"/>
  <c r="Z83" i="11" s="1"/>
  <c r="Z81" i="11" a="1"/>
  <c r="Z81" i="11" s="1"/>
  <c r="Z79" i="11" a="1"/>
  <c r="Z79" i="11" s="1"/>
  <c r="Z77" i="11" a="1"/>
  <c r="Z77" i="11" s="1"/>
  <c r="Z75" i="11" a="1"/>
  <c r="Z75" i="11" s="1"/>
  <c r="Z73" i="11" a="1"/>
  <c r="Z73" i="11" s="1"/>
  <c r="Z71" i="11" a="1"/>
  <c r="Z71" i="11" s="1"/>
  <c r="Z69" i="11" a="1"/>
  <c r="Z69" i="11" s="1"/>
  <c r="Z67" i="11" a="1"/>
  <c r="Z67" i="11" s="1"/>
  <c r="Z65" i="11" a="1"/>
  <c r="Z65" i="11" s="1"/>
  <c r="Z63" i="11" a="1"/>
  <c r="Z63" i="11" s="1"/>
  <c r="Z61" i="11" a="1"/>
  <c r="Z61" i="11" s="1"/>
  <c r="Z59" i="11" a="1"/>
  <c r="Z59" i="11" s="1"/>
  <c r="Z57" i="11" a="1"/>
  <c r="Z57" i="11" s="1"/>
  <c r="Z55" i="11" a="1"/>
  <c r="Z55" i="11" s="1"/>
  <c r="Z53" i="11" a="1"/>
  <c r="Z53" i="11" s="1"/>
  <c r="Z51" i="11" a="1"/>
  <c r="Z51" i="11" s="1"/>
  <c r="Z49" i="11" a="1"/>
  <c r="Z49" i="11" s="1"/>
  <c r="Z47" i="11" a="1"/>
  <c r="Z47" i="11" s="1"/>
  <c r="Z45" i="11" a="1"/>
  <c r="Z45" i="11" s="1"/>
  <c r="Z43" i="11" a="1"/>
  <c r="Z43" i="11" s="1"/>
  <c r="Z41" i="11" a="1"/>
  <c r="Z41" i="11" s="1"/>
  <c r="Z39" i="11" a="1"/>
  <c r="Z39" i="11" s="1"/>
  <c r="Z37" i="11" a="1"/>
  <c r="Z37" i="11" s="1"/>
  <c r="Z35" i="11" a="1"/>
  <c r="Z35" i="11" s="1"/>
  <c r="Z33" i="11" a="1"/>
  <c r="Z33" i="11" s="1"/>
  <c r="Z31" i="11" a="1"/>
  <c r="Z31" i="11" s="1"/>
  <c r="Z29" i="11" a="1"/>
  <c r="Z29" i="11" s="1"/>
  <c r="Z27" i="11" a="1"/>
  <c r="Z27" i="11" s="1"/>
  <c r="Z25" i="11" a="1"/>
  <c r="Z25" i="11" s="1"/>
  <c r="Z23" i="11" a="1"/>
  <c r="Z23" i="11" s="1"/>
  <c r="Z21" i="11" a="1"/>
  <c r="Z21" i="11" s="1"/>
  <c r="Z19" i="11" a="1"/>
  <c r="Z19" i="11" s="1"/>
  <c r="Z17" i="11" a="1"/>
  <c r="Z17" i="11" s="1"/>
  <c r="Z124" i="11" a="1"/>
  <c r="Z124" i="11" s="1"/>
  <c r="Z368" i="11" a="1"/>
  <c r="Z368" i="11" s="1"/>
  <c r="Z240" i="11" a="1"/>
  <c r="Z240" i="11" s="1"/>
  <c r="Z108" i="11" a="1"/>
  <c r="Z108" i="11" s="1"/>
  <c r="Z84" i="11" a="1"/>
  <c r="Z84" i="11" s="1"/>
  <c r="Z304" i="11" a="1"/>
  <c r="Z304" i="11" s="1"/>
  <c r="Z176" i="11" a="1"/>
  <c r="Z176" i="11" s="1"/>
  <c r="Z72" i="11" a="1"/>
  <c r="Z72" i="11" s="1"/>
  <c r="Z40" i="11" a="1"/>
  <c r="Z40" i="11" s="1"/>
  <c r="Z190" i="11" a="1"/>
  <c r="Z190" i="11" s="1"/>
  <c r="Z186" i="11" a="1"/>
  <c r="Z186" i="11" s="1"/>
  <c r="Z182" i="11" a="1"/>
  <c r="Z182" i="11" s="1"/>
  <c r="Z178" i="11" a="1"/>
  <c r="Z178" i="11" s="1"/>
  <c r="Z174" i="11" a="1"/>
  <c r="Z174" i="11" s="1"/>
  <c r="Z170" i="11" a="1"/>
  <c r="Z170" i="11" s="1"/>
  <c r="Z166" i="11" a="1"/>
  <c r="Z166" i="11" s="1"/>
  <c r="Z162" i="11" a="1"/>
  <c r="Z162" i="11" s="1"/>
  <c r="Z158" i="11" a="1"/>
  <c r="Z158" i="11" s="1"/>
  <c r="Z154" i="11" a="1"/>
  <c r="Z154" i="11" s="1"/>
  <c r="Z150" i="11" a="1"/>
  <c r="Z150" i="11" s="1"/>
  <c r="Z146" i="11" a="1"/>
  <c r="Z146" i="11" s="1"/>
  <c r="Z142" i="11" a="1"/>
  <c r="Z142" i="11" s="1"/>
  <c r="Z138" i="11" a="1"/>
  <c r="Z138" i="11" s="1"/>
  <c r="Z134" i="11" a="1"/>
  <c r="Z134" i="11" s="1"/>
  <c r="Z130" i="11" a="1"/>
  <c r="Z130" i="11" s="1"/>
  <c r="Z126" i="11" a="1"/>
  <c r="Z126" i="11" s="1"/>
  <c r="Z122" i="11" a="1"/>
  <c r="Z122" i="11" s="1"/>
  <c r="Z118" i="11" a="1"/>
  <c r="Z118" i="11" s="1"/>
  <c r="Z114" i="11" a="1"/>
  <c r="Z114" i="11" s="1"/>
  <c r="Z110" i="11" a="1"/>
  <c r="Z110" i="11" s="1"/>
  <c r="Z106" i="11" a="1"/>
  <c r="Z106" i="11" s="1"/>
  <c r="Z102" i="11" a="1"/>
  <c r="Z102" i="11" s="1"/>
  <c r="Z98" i="11" a="1"/>
  <c r="Z98" i="11" s="1"/>
  <c r="Z94" i="11" a="1"/>
  <c r="Z94" i="11" s="1"/>
  <c r="Z90" i="11" a="1"/>
  <c r="Z90" i="11" s="1"/>
  <c r="Z86" i="11" a="1"/>
  <c r="Z86" i="11" s="1"/>
  <c r="Z82" i="11" a="1"/>
  <c r="Z82" i="11" s="1"/>
  <c r="Z78" i="11" a="1"/>
  <c r="Z78" i="11" s="1"/>
  <c r="Z74" i="11" a="1"/>
  <c r="Z74" i="11" s="1"/>
  <c r="Z70" i="11" a="1"/>
  <c r="Z70" i="11" s="1"/>
  <c r="Z66" i="11" a="1"/>
  <c r="Z66" i="11" s="1"/>
  <c r="Z62" i="11" a="1"/>
  <c r="Z62" i="11" s="1"/>
  <c r="Z58" i="11" a="1"/>
  <c r="Z58" i="11" s="1"/>
  <c r="Z54" i="11" a="1"/>
  <c r="Z54" i="11" s="1"/>
  <c r="Z50" i="11" a="1"/>
  <c r="Z50" i="11" s="1"/>
  <c r="Z46" i="11" a="1"/>
  <c r="Z46" i="11" s="1"/>
  <c r="Z42" i="11" a="1"/>
  <c r="Z42" i="11" s="1"/>
  <c r="Z38" i="11" a="1"/>
  <c r="Z38" i="11" s="1"/>
  <c r="Z34" i="11" a="1"/>
  <c r="Z34" i="11" s="1"/>
  <c r="Z30" i="11" a="1"/>
  <c r="Z30" i="11" s="1"/>
  <c r="Z26" i="11" a="1"/>
  <c r="Z26" i="11" s="1"/>
  <c r="Z22" i="11" a="1"/>
  <c r="Z22" i="11" s="1"/>
  <c r="Z18" i="11" a="1"/>
  <c r="Z18" i="11" s="1"/>
  <c r="Z223" i="11" a="1"/>
  <c r="Z223" i="11" s="1"/>
  <c r="Z191" i="11" a="1"/>
  <c r="Z191" i="11" s="1"/>
  <c r="Z159" i="11" a="1"/>
  <c r="Z159" i="11" s="1"/>
  <c r="Z432" i="11" a="1"/>
  <c r="Z432" i="11" s="1"/>
  <c r="Z438" i="11" a="1"/>
  <c r="Z438" i="11" s="1"/>
  <c r="Z434" i="11" a="1"/>
  <c r="Z434" i="11" s="1"/>
  <c r="Z430" i="11" a="1"/>
  <c r="Z430" i="11" s="1"/>
  <c r="Z426" i="11" a="1"/>
  <c r="Z426" i="11" s="1"/>
  <c r="Z422" i="11" a="1"/>
  <c r="Z422" i="11" s="1"/>
  <c r="Z418" i="11" a="1"/>
  <c r="Z418" i="11" s="1"/>
  <c r="Z414" i="11" a="1"/>
  <c r="Z414" i="11" s="1"/>
  <c r="Z410" i="11" a="1"/>
  <c r="Z410" i="11" s="1"/>
  <c r="Z406" i="11" a="1"/>
  <c r="Z406" i="11" s="1"/>
  <c r="Z402" i="11" a="1"/>
  <c r="Z402" i="11" s="1"/>
  <c r="Z398" i="11" a="1"/>
  <c r="Z398" i="11" s="1"/>
  <c r="Z394" i="11" a="1"/>
  <c r="Z394" i="11" s="1"/>
  <c r="Z390" i="11" a="1"/>
  <c r="Z390" i="11" s="1"/>
  <c r="Z386" i="11" a="1"/>
  <c r="Z386" i="11" s="1"/>
  <c r="Z382" i="11" a="1"/>
  <c r="Z382" i="11" s="1"/>
  <c r="Z378" i="11" a="1"/>
  <c r="Z378" i="11" s="1"/>
  <c r="Z374" i="11" a="1"/>
  <c r="Z374" i="11" s="1"/>
  <c r="Z370" i="11" a="1"/>
  <c r="Z370" i="11" s="1"/>
  <c r="Z366" i="11" a="1"/>
  <c r="Z366" i="11" s="1"/>
  <c r="Z362" i="11" a="1"/>
  <c r="Z362" i="11" s="1"/>
  <c r="Z358" i="11" a="1"/>
  <c r="Z358" i="11" s="1"/>
  <c r="Z354" i="11" a="1"/>
  <c r="Z354" i="11" s="1"/>
  <c r="Z350" i="11" a="1"/>
  <c r="Z350" i="11" s="1"/>
  <c r="Z346" i="11" a="1"/>
  <c r="Z346" i="11" s="1"/>
  <c r="Z342" i="11" a="1"/>
  <c r="Z342" i="11" s="1"/>
  <c r="Z338" i="11" a="1"/>
  <c r="Z338" i="11" s="1"/>
  <c r="Z334" i="11" a="1"/>
  <c r="Z334" i="11" s="1"/>
  <c r="Z330" i="11" a="1"/>
  <c r="Z330" i="11" s="1"/>
  <c r="Z326" i="11" a="1"/>
  <c r="Z326" i="11" s="1"/>
  <c r="Z322" i="11" a="1"/>
  <c r="Z322" i="11" s="1"/>
  <c r="Z318" i="11" a="1"/>
  <c r="Z318" i="11" s="1"/>
  <c r="Z314" i="11" a="1"/>
  <c r="Z314" i="11" s="1"/>
  <c r="Z310" i="11" a="1"/>
  <c r="Z310" i="11" s="1"/>
  <c r="Z306" i="11" a="1"/>
  <c r="Z306" i="11" s="1"/>
  <c r="Z302" i="11" a="1"/>
  <c r="Z302" i="11" s="1"/>
  <c r="Z298" i="11" a="1"/>
  <c r="Z298" i="11" s="1"/>
  <c r="Z294" i="11" a="1"/>
  <c r="Z294" i="11" s="1"/>
  <c r="Z290" i="11" a="1"/>
  <c r="Z290" i="11" s="1"/>
  <c r="Z286" i="11" a="1"/>
  <c r="Z286" i="11" s="1"/>
  <c r="Z282" i="11" a="1"/>
  <c r="Z282" i="11" s="1"/>
  <c r="Z278" i="11" a="1"/>
  <c r="Z278" i="11" s="1"/>
  <c r="Z274" i="11" a="1"/>
  <c r="Z274" i="11" s="1"/>
  <c r="Z270" i="11" a="1"/>
  <c r="Z270" i="11" s="1"/>
  <c r="Z266" i="11" a="1"/>
  <c r="Z266" i="11" s="1"/>
  <c r="Z262" i="11" a="1"/>
  <c r="Z262" i="11" s="1"/>
  <c r="Z258" i="11" a="1"/>
  <c r="Z258" i="11" s="1"/>
  <c r="Z254" i="11" a="1"/>
  <c r="Z254" i="11" s="1"/>
  <c r="Z250" i="11" a="1"/>
  <c r="Z250" i="11" s="1"/>
  <c r="Z246" i="11" a="1"/>
  <c r="Z246" i="11" s="1"/>
  <c r="Z242" i="11" a="1"/>
  <c r="Z242" i="11" s="1"/>
  <c r="Z238" i="11" a="1"/>
  <c r="Z238" i="11" s="1"/>
  <c r="Z234" i="11" a="1"/>
  <c r="Z234" i="11" s="1"/>
  <c r="Z230" i="11" a="1"/>
  <c r="Z230" i="11" s="1"/>
  <c r="Z226" i="11" a="1"/>
  <c r="Z226" i="11" s="1"/>
  <c r="Z222" i="11" a="1"/>
  <c r="Z222" i="11" s="1"/>
  <c r="Z218" i="11" a="1"/>
  <c r="Z218" i="11" s="1"/>
  <c r="Z214" i="11" a="1"/>
  <c r="Z214" i="11" s="1"/>
  <c r="Z210" i="11" a="1"/>
  <c r="Z210" i="11" s="1"/>
  <c r="Z206" i="11" a="1"/>
  <c r="Z206" i="11" s="1"/>
  <c r="Z202" i="11" a="1"/>
  <c r="Z202" i="11" s="1"/>
  <c r="Z198" i="11" a="1"/>
  <c r="Z198" i="11" s="1"/>
  <c r="Z194" i="11" a="1"/>
  <c r="Z194" i="11" s="1"/>
  <c r="Z440" i="11" a="1"/>
  <c r="Z440" i="11" s="1"/>
  <c r="Z424" i="11" a="1"/>
  <c r="Z424" i="11" s="1"/>
  <c r="Z408" i="11" a="1"/>
  <c r="Z408" i="11" s="1"/>
  <c r="Z392" i="11" a="1"/>
  <c r="Z392" i="11" s="1"/>
  <c r="Z376" i="11" a="1"/>
  <c r="Z376" i="11" s="1"/>
  <c r="Z360" i="11" a="1"/>
  <c r="Z360" i="11" s="1"/>
  <c r="Z344" i="11" a="1"/>
  <c r="Z344" i="11" s="1"/>
  <c r="Z328" i="11" a="1"/>
  <c r="Z328" i="11" s="1"/>
  <c r="Z312" i="11" a="1"/>
  <c r="Z312" i="11" s="1"/>
  <c r="Z296" i="11" a="1"/>
  <c r="Z296" i="11" s="1"/>
  <c r="Z280" i="11" a="1"/>
  <c r="Z280" i="11" s="1"/>
  <c r="Z264" i="11" a="1"/>
  <c r="Z264" i="11" s="1"/>
  <c r="Z248" i="11" a="1"/>
  <c r="Z248" i="11" s="1"/>
  <c r="Z232" i="11" a="1"/>
  <c r="Z232" i="11" s="1"/>
  <c r="Z216" i="11" a="1"/>
  <c r="Z216" i="11" s="1"/>
  <c r="Z200" i="11" a="1"/>
  <c r="Z200" i="11" s="1"/>
  <c r="Z184" i="11" a="1"/>
  <c r="Z184" i="11" s="1"/>
  <c r="Z168" i="11" a="1"/>
  <c r="Z168" i="11" s="1"/>
  <c r="Z152" i="11" a="1"/>
  <c r="Z152" i="11" s="1"/>
  <c r="Z136" i="11" a="1"/>
  <c r="Z136" i="11" s="1"/>
  <c r="Z436" i="11" a="1"/>
  <c r="Z436" i="11" s="1"/>
  <c r="Z428" i="11" a="1"/>
  <c r="Z428" i="11" s="1"/>
  <c r="Z420" i="11" a="1"/>
  <c r="Z420" i="11" s="1"/>
  <c r="Z404" i="11" a="1"/>
  <c r="Z404" i="11" s="1"/>
  <c r="Z388" i="11" a="1"/>
  <c r="Z388" i="11" s="1"/>
  <c r="Z372" i="11" a="1"/>
  <c r="Z372" i="11" s="1"/>
  <c r="Z356" i="11" a="1"/>
  <c r="Z356" i="11" s="1"/>
  <c r="Z340" i="11" a="1"/>
  <c r="Z340" i="11" s="1"/>
  <c r="Z332" i="11" a="1"/>
  <c r="Z332" i="11" s="1"/>
  <c r="Z324" i="11" a="1"/>
  <c r="Z324" i="11" s="1"/>
  <c r="Z316" i="11" a="1"/>
  <c r="Z316" i="11" s="1"/>
  <c r="Z300" i="11" a="1"/>
  <c r="Z300" i="11" s="1"/>
  <c r="Z292" i="11" a="1"/>
  <c r="Z292" i="11" s="1"/>
  <c r="Z284" i="11" a="1"/>
  <c r="Z284" i="11" s="1"/>
  <c r="Z276" i="11" a="1"/>
  <c r="Z276" i="11" s="1"/>
  <c r="Z268" i="11" a="1"/>
  <c r="Z268" i="11" s="1"/>
  <c r="Z260" i="11" a="1"/>
  <c r="Z260" i="11" s="1"/>
  <c r="Z252" i="11" a="1"/>
  <c r="Z252" i="11" s="1"/>
  <c r="Z236" i="11" a="1"/>
  <c r="Z236" i="11" s="1"/>
  <c r="Z228" i="11" a="1"/>
  <c r="Z228" i="11" s="1"/>
  <c r="Z220" i="11" a="1"/>
  <c r="Z220" i="11" s="1"/>
  <c r="Z212" i="11" a="1"/>
  <c r="Z212" i="11" s="1"/>
  <c r="Z204" i="11" a="1"/>
  <c r="Z204" i="11" s="1"/>
  <c r="Z196" i="11" a="1"/>
  <c r="Z196" i="11" s="1"/>
  <c r="Z188" i="11" a="1"/>
  <c r="Z188" i="11" s="1"/>
  <c r="Z180" i="11" a="1"/>
  <c r="Z180" i="11" s="1"/>
  <c r="Z172" i="11" a="1"/>
  <c r="Z172" i="11" s="1"/>
  <c r="Z164" i="11" a="1"/>
  <c r="Z164" i="11" s="1"/>
  <c r="Z156" i="11" a="1"/>
  <c r="Z156" i="11" s="1"/>
  <c r="Z140" i="11" a="1"/>
  <c r="Z140" i="11" s="1"/>
  <c r="Z132" i="11" a="1"/>
  <c r="Z132" i="11" s="1"/>
  <c r="B35" i="1" l="1" a="1"/>
  <c r="B35" i="1" s="1"/>
  <c r="C35" i="1" a="1"/>
  <c r="C35" i="1" s="1"/>
  <c r="B32" i="1" a="1"/>
  <c r="B32" i="1" s="1"/>
  <c r="B34" i="1" a="1"/>
  <c r="B34" i="1" s="1"/>
  <c r="B4" i="1" a="1"/>
  <c r="B4" i="1" s="1"/>
  <c r="B6" i="1" a="1"/>
  <c r="B6" i="1" s="1"/>
  <c r="B9" i="1" a="1"/>
  <c r="B9" i="1" s="1"/>
  <c r="B11" i="1" a="1"/>
  <c r="B11" i="1" s="1"/>
  <c r="B13" i="1" a="1"/>
  <c r="B13" i="1" s="1"/>
  <c r="B16" i="1" a="1"/>
  <c r="B16" i="1" s="1"/>
  <c r="C17" i="1" a="1"/>
  <c r="C17" i="1" s="1"/>
  <c r="C19" i="1" a="1"/>
  <c r="C19" i="1" s="1"/>
  <c r="C22" i="1" a="1"/>
  <c r="C22" i="1" s="1"/>
  <c r="C24" i="1" a="1"/>
  <c r="C24" i="1" s="1"/>
  <c r="C26" i="1" a="1"/>
  <c r="C26" i="1" s="1"/>
  <c r="C29" i="1" a="1"/>
  <c r="C29" i="1" s="1"/>
  <c r="C33" i="1" a="1"/>
  <c r="C33" i="1" s="1"/>
  <c r="C8" i="1" a="1"/>
  <c r="C8" i="1" s="1"/>
  <c r="C15" i="1" a="1"/>
  <c r="C15" i="1" s="1"/>
  <c r="B22" i="1" a="1"/>
  <c r="B22" i="1" s="1"/>
  <c r="B29" i="1" a="1"/>
  <c r="B29" i="1" s="1"/>
  <c r="C32" i="1" a="1"/>
  <c r="C32" i="1" s="1"/>
  <c r="C34" i="1" a="1"/>
  <c r="C34" i="1" s="1"/>
  <c r="C4" i="1" a="1"/>
  <c r="C4" i="1" s="1"/>
  <c r="C6" i="1" a="1"/>
  <c r="C6" i="1" s="1"/>
  <c r="C9" i="1" a="1"/>
  <c r="C9" i="1" s="1"/>
  <c r="C11" i="1" a="1"/>
  <c r="C11" i="1" s="1"/>
  <c r="C13" i="1" a="1"/>
  <c r="C13" i="1" s="1"/>
  <c r="C16" i="1" a="1"/>
  <c r="C16" i="1" s="1"/>
  <c r="B18" i="1" a="1"/>
  <c r="B18" i="1" s="1"/>
  <c r="B20" i="1" a="1"/>
  <c r="B20" i="1" s="1"/>
  <c r="H18" i="2" s="1" a="1"/>
  <c r="H18" i="2" s="1"/>
  <c r="B23" i="1" a="1"/>
  <c r="B23" i="1" s="1"/>
  <c r="B25" i="1" a="1"/>
  <c r="B25" i="1" s="1"/>
  <c r="B27" i="1" a="1"/>
  <c r="B27" i="1" s="1"/>
  <c r="C3" i="1" a="1"/>
  <c r="C3" i="1" s="1"/>
  <c r="F2" i="2" s="1" a="1"/>
  <c r="F2" i="2" s="1"/>
  <c r="B2" i="11" s="1" a="1"/>
  <c r="B2" i="11" s="1"/>
  <c r="C30" i="1" a="1"/>
  <c r="C30" i="1" s="1"/>
  <c r="C10" i="1" a="1"/>
  <c r="C10" i="1" s="1"/>
  <c r="B17" i="1" a="1"/>
  <c r="B17" i="1" s="1"/>
  <c r="B24" i="1" a="1"/>
  <c r="B24" i="1" s="1"/>
  <c r="B33" i="1" a="1"/>
  <c r="B33" i="1" s="1"/>
  <c r="B30" i="1" a="1"/>
  <c r="B30" i="1" s="1"/>
  <c r="B5" i="1" a="1"/>
  <c r="B5" i="1" s="1"/>
  <c r="B8" i="1" a="1"/>
  <c r="B8" i="1" s="1"/>
  <c r="B10" i="1" a="1"/>
  <c r="B10" i="1" s="1"/>
  <c r="B12" i="1" a="1"/>
  <c r="B12" i="1" s="1"/>
  <c r="B15" i="1" a="1"/>
  <c r="B15" i="1" s="1"/>
  <c r="C18" i="1" a="1"/>
  <c r="C18" i="1" s="1"/>
  <c r="C20" i="1" a="1"/>
  <c r="C20" i="1" s="1"/>
  <c r="I18" i="2" s="1" a="1"/>
  <c r="I18" i="2" s="1"/>
  <c r="C23" i="1" a="1"/>
  <c r="C23" i="1" s="1"/>
  <c r="C25" i="1" a="1"/>
  <c r="C25" i="1" s="1"/>
  <c r="C27" i="1" a="1"/>
  <c r="C27" i="1" s="1"/>
  <c r="B3" i="1" a="1"/>
  <c r="B3" i="1" s="1"/>
  <c r="E2" i="2" s="1" a="1"/>
  <c r="E2" i="2" s="1"/>
  <c r="C5" i="1" a="1"/>
  <c r="C5" i="1" s="1"/>
  <c r="C12" i="1" a="1"/>
  <c r="C12" i="1" s="1"/>
  <c r="B19" i="1" a="1"/>
  <c r="B19" i="1" s="1"/>
  <c r="B26" i="1" a="1"/>
  <c r="B26" i="1" s="1"/>
  <c r="H31" i="2" l="1" a="1"/>
  <c r="H31" i="2" s="1"/>
  <c r="F31" i="2" a="1"/>
  <c r="F31" i="2" s="1"/>
  <c r="I30" i="2" a="1"/>
  <c r="I30" i="2" s="1"/>
  <c r="D35" i="1" a="1"/>
  <c r="D35" i="1" s="1"/>
  <c r="H30" i="2" a="1"/>
  <c r="H30" i="2" s="1"/>
  <c r="E31" i="2" a="1"/>
  <c r="E31" i="2" s="1"/>
  <c r="I3" i="2" a="1"/>
  <c r="I3" i="2" s="1"/>
  <c r="B6" i="11" s="1" a="1"/>
  <c r="B6" i="11" s="1"/>
  <c r="F4" i="2" a="1"/>
  <c r="F4" i="2" s="1"/>
  <c r="B8" i="11" s="1" a="1"/>
  <c r="B8" i="11" s="1"/>
  <c r="F13" i="2" a="1"/>
  <c r="F13" i="2" s="1"/>
  <c r="I26" i="2" a="1"/>
  <c r="I26" i="2" s="1"/>
  <c r="I11" i="2" a="1"/>
  <c r="I11" i="2" s="1"/>
  <c r="H20" i="2" a="1"/>
  <c r="H20" i="2" s="1"/>
  <c r="E21" i="2" a="1"/>
  <c r="E21" i="2" s="1"/>
  <c r="H9" i="2" a="1"/>
  <c r="H9" i="2" s="1"/>
  <c r="E10" i="2" a="1"/>
  <c r="E10" i="2" s="1"/>
  <c r="H17" i="2" a="1"/>
  <c r="H17" i="2" s="1"/>
  <c r="E18" i="2" a="1"/>
  <c r="E18" i="2" s="1"/>
  <c r="I10" i="2" a="1"/>
  <c r="I10" i="2" s="1"/>
  <c r="F11" i="2" a="1"/>
  <c r="F11" i="2" s="1"/>
  <c r="I23" i="2" a="1"/>
  <c r="I23" i="2" s="1"/>
  <c r="F24" i="2" a="1"/>
  <c r="F24" i="2" s="1"/>
  <c r="H13" i="2" a="1"/>
  <c r="H13" i="2" s="1"/>
  <c r="E14" i="2" a="1"/>
  <c r="E14" i="2" s="1"/>
  <c r="A32" i="11" s="1" a="1"/>
  <c r="A32" i="11" s="1"/>
  <c r="E13" i="2" a="1"/>
  <c r="E13" i="2" s="1"/>
  <c r="H3" i="2" a="1"/>
  <c r="H3" i="2" s="1"/>
  <c r="A6" i="11" s="1" a="1"/>
  <c r="A6" i="11" s="1"/>
  <c r="E4" i="2" a="1"/>
  <c r="E4" i="2" s="1"/>
  <c r="A8" i="11" s="1" a="1"/>
  <c r="A8" i="11" s="1"/>
  <c r="H15" i="2" a="1"/>
  <c r="H15" i="2" s="1"/>
  <c r="E16" i="2" a="1"/>
  <c r="E16" i="2" s="1"/>
  <c r="H25" i="2" a="1"/>
  <c r="H25" i="2" s="1"/>
  <c r="E26" i="2" a="1"/>
  <c r="E26" i="2" s="1"/>
  <c r="H16" i="2" a="1"/>
  <c r="H16" i="2" s="1"/>
  <c r="A45" i="11" s="1" a="1"/>
  <c r="A45" i="11" s="1"/>
  <c r="E17" i="2" a="1"/>
  <c r="E17" i="2" s="1"/>
  <c r="I7" i="2" a="1"/>
  <c r="I7" i="2" s="1"/>
  <c r="F8" i="2" a="1"/>
  <c r="F8" i="2" s="1"/>
  <c r="I33" i="2" a="1"/>
  <c r="I33" i="2" s="1"/>
  <c r="F33" i="2" a="1"/>
  <c r="F33" i="2" s="1"/>
  <c r="I35" i="2" a="1"/>
  <c r="I35" i="2" s="1"/>
  <c r="I31" i="2" a="1"/>
  <c r="I31" i="2" s="1"/>
  <c r="F34" i="2" a="1"/>
  <c r="F34" i="2" s="1"/>
  <c r="I34" i="2" a="1"/>
  <c r="I34" i="2" s="1"/>
  <c r="I36" i="2" a="1"/>
  <c r="I36" i="2" s="1"/>
  <c r="F35" i="2" a="1"/>
  <c r="F35" i="2" s="1"/>
  <c r="F28" i="2" a="1"/>
  <c r="F28" i="2" s="1"/>
  <c r="B68" i="11" s="1" a="1"/>
  <c r="B68" i="11" s="1"/>
  <c r="F36" i="2" a="1"/>
  <c r="F36" i="2" s="1"/>
  <c r="I6" i="2" a="1"/>
  <c r="I6" i="2" s="1"/>
  <c r="B12" i="11" s="1" a="1"/>
  <c r="B12" i="11" s="1"/>
  <c r="F7" i="2" a="1"/>
  <c r="F7" i="2" s="1"/>
  <c r="I22" i="2" a="1"/>
  <c r="I22" i="2" s="1"/>
  <c r="B54" i="11" s="1" a="1"/>
  <c r="B54" i="11" s="1"/>
  <c r="F23" i="2" a="1"/>
  <c r="F23" i="2" s="1"/>
  <c r="H14" i="2" a="1"/>
  <c r="H14" i="2" s="1"/>
  <c r="A33" i="11" s="1" a="1"/>
  <c r="A33" i="11" s="1"/>
  <c r="E15" i="2" a="1"/>
  <c r="E15" i="2" s="1"/>
  <c r="H4" i="2" a="1"/>
  <c r="H4" i="2" s="1"/>
  <c r="A9" i="11" s="1" a="1"/>
  <c r="A9" i="11" s="1"/>
  <c r="E20" i="2" a="1"/>
  <c r="E20" i="2" s="1"/>
  <c r="A47" i="11" s="1" a="1"/>
  <c r="A47" i="11" s="1"/>
  <c r="F22" i="2" a="1"/>
  <c r="F22" i="2" s="1"/>
  <c r="I21" i="2" a="1"/>
  <c r="I21" i="2" s="1"/>
  <c r="H10" i="2" a="1"/>
  <c r="H10" i="2" s="1"/>
  <c r="A24" i="11" s="1" a="1"/>
  <c r="A24" i="11" s="1"/>
  <c r="E11" i="2" a="1"/>
  <c r="E11" i="2" s="1"/>
  <c r="A29" i="11" s="1" a="1"/>
  <c r="A29" i="11" s="1"/>
  <c r="D30" i="1" a="1"/>
  <c r="D30" i="1" s="1"/>
  <c r="I8" i="2" a="1"/>
  <c r="I8" i="2" s="1"/>
  <c r="F9" i="2" a="1"/>
  <c r="F9" i="2" s="1"/>
  <c r="B20" i="11" s="1" a="1"/>
  <c r="B20" i="11" s="1"/>
  <c r="H23" i="2" a="1"/>
  <c r="H23" i="2" s="1"/>
  <c r="E24" i="2" a="1"/>
  <c r="E24" i="2" s="1"/>
  <c r="I14" i="2" a="1"/>
  <c r="I14" i="2" s="1"/>
  <c r="F15" i="2" a="1"/>
  <c r="F15" i="2" s="1"/>
  <c r="B35" i="11" s="1" a="1"/>
  <c r="B35" i="11" s="1"/>
  <c r="I4" i="2" a="1"/>
  <c r="I4" i="2" s="1"/>
  <c r="B9" i="11" s="1" a="1"/>
  <c r="B9" i="11" s="1"/>
  <c r="F20" i="2" a="1"/>
  <c r="F20" i="2" s="1"/>
  <c r="I28" i="2" a="1"/>
  <c r="I28" i="2" s="1"/>
  <c r="F29" i="2" a="1"/>
  <c r="F29" i="2" s="1"/>
  <c r="F21" i="2" a="1"/>
  <c r="F21" i="2" s="1"/>
  <c r="I20" i="2" a="1"/>
  <c r="I20" i="2" s="1"/>
  <c r="H26" i="2" a="1"/>
  <c r="H26" i="2" s="1"/>
  <c r="J26" i="2" s="1" a="1"/>
  <c r="J26" i="2" s="1"/>
  <c r="H11" i="2" a="1"/>
  <c r="H11" i="2" s="1"/>
  <c r="A27" i="11" s="1" a="1"/>
  <c r="A27" i="11" s="1"/>
  <c r="E3" i="2" a="1"/>
  <c r="E3" i="2" s="1"/>
  <c r="A5" i="11" s="1" a="1"/>
  <c r="A5" i="11" s="1"/>
  <c r="E6" i="2" a="1"/>
  <c r="E6" i="2" s="1"/>
  <c r="A11" i="11" s="1" a="1"/>
  <c r="A11" i="11" s="1"/>
  <c r="H2" i="2" a="1"/>
  <c r="H2" i="2" s="1"/>
  <c r="A3" i="11" s="1" a="1"/>
  <c r="A3" i="11" s="1"/>
  <c r="D34" i="1" a="1"/>
  <c r="D34" i="1" s="1"/>
  <c r="H29" i="2" a="1"/>
  <c r="H29" i="2" s="1"/>
  <c r="E30" i="2" a="1"/>
  <c r="E30" i="2" s="1"/>
  <c r="H24" i="2" a="1"/>
  <c r="H24" i="2" s="1"/>
  <c r="E25" i="2" a="1"/>
  <c r="E25" i="2" s="1"/>
  <c r="H8" i="2" a="1"/>
  <c r="H8" i="2" s="1"/>
  <c r="E9" i="2" a="1"/>
  <c r="E9" i="2" s="1"/>
  <c r="D33" i="1" a="1"/>
  <c r="D33" i="1" s="1"/>
  <c r="E29" i="2" a="1"/>
  <c r="E29" i="2" s="1"/>
  <c r="A71" i="11" s="1" a="1"/>
  <c r="A71" i="11" s="1"/>
  <c r="H28" i="2" a="1"/>
  <c r="H28" i="2" s="1"/>
  <c r="A69" i="11" s="1" a="1"/>
  <c r="A69" i="11" s="1"/>
  <c r="H21" i="2" a="1"/>
  <c r="H21" i="2" s="1"/>
  <c r="A51" i="11" s="1" a="1"/>
  <c r="A51" i="11" s="1"/>
  <c r="E22" i="2" a="1"/>
  <c r="E22" i="2" s="1"/>
  <c r="F6" i="2" a="1"/>
  <c r="F6" i="2" s="1"/>
  <c r="B11" i="11" s="1" a="1"/>
  <c r="B11" i="11" s="1"/>
  <c r="I2" i="2" a="1"/>
  <c r="I2" i="2" s="1"/>
  <c r="B3" i="11" s="1" a="1"/>
  <c r="B3" i="11" s="1"/>
  <c r="F3" i="2" a="1"/>
  <c r="F3" i="2" s="1"/>
  <c r="B5" i="11" s="1" a="1"/>
  <c r="B5" i="11" s="1"/>
  <c r="I17" i="2" a="1"/>
  <c r="I17" i="2" s="1"/>
  <c r="F18" i="2" a="1"/>
  <c r="F18" i="2" s="1"/>
  <c r="F26" i="2" a="1"/>
  <c r="F26" i="2" s="1"/>
  <c r="I25" i="2" a="1"/>
  <c r="I25" i="2" s="1"/>
  <c r="F17" i="2" a="1"/>
  <c r="F17" i="2" s="1"/>
  <c r="I16" i="2" a="1"/>
  <c r="I16" i="2" s="1"/>
  <c r="B39" i="11" s="1" a="1"/>
  <c r="B39" i="11" s="1"/>
  <c r="H6" i="2" a="1"/>
  <c r="H6" i="2" s="1"/>
  <c r="A12" i="11" s="1" a="1"/>
  <c r="A12" i="11" s="1"/>
  <c r="E7" i="2" a="1"/>
  <c r="E7" i="2" s="1"/>
  <c r="A14" i="11" s="1" a="1"/>
  <c r="A14" i="11" s="1"/>
  <c r="H22" i="2" a="1"/>
  <c r="H22" i="2" s="1"/>
  <c r="A54" i="11" s="1" a="1"/>
  <c r="A54" i="11" s="1"/>
  <c r="E23" i="2" a="1"/>
  <c r="E23" i="2" s="1"/>
  <c r="I9" i="2" a="1"/>
  <c r="I9" i="2" s="1"/>
  <c r="B21" i="11" s="1" a="1"/>
  <c r="B21" i="11" s="1"/>
  <c r="F10" i="2" a="1"/>
  <c r="F10" i="2" s="1"/>
  <c r="B26" i="11" s="1" a="1"/>
  <c r="B26" i="11" s="1"/>
  <c r="F30" i="2" a="1"/>
  <c r="F30" i="2" s="1"/>
  <c r="I29" i="2" a="1"/>
  <c r="I29" i="2" s="1"/>
  <c r="I13" i="2" a="1"/>
  <c r="I13" i="2" s="1"/>
  <c r="F14" i="2" a="1"/>
  <c r="F14" i="2" s="1"/>
  <c r="F25" i="2" a="1"/>
  <c r="F25" i="2" s="1"/>
  <c r="I24" i="2" a="1"/>
  <c r="I24" i="2" s="1"/>
  <c r="B60" i="11" s="1" a="1"/>
  <c r="B60" i="11" s="1"/>
  <c r="I15" i="2" a="1"/>
  <c r="I15" i="2" s="1"/>
  <c r="B36" i="11" s="1" a="1"/>
  <c r="B36" i="11" s="1"/>
  <c r="F16" i="2" a="1"/>
  <c r="F16" i="2" s="1"/>
  <c r="H7" i="2" a="1"/>
  <c r="H7" i="2" s="1"/>
  <c r="E8" i="2" a="1"/>
  <c r="E8" i="2" s="1"/>
  <c r="D32" i="1" a="1"/>
  <c r="D32" i="1" s="1"/>
  <c r="E36" i="2" a="1"/>
  <c r="E36" i="2" s="1"/>
  <c r="E28" i="2" a="1"/>
  <c r="E28" i="2" s="1"/>
  <c r="H34" i="2" a="1"/>
  <c r="H34" i="2" s="1"/>
  <c r="E35" i="2" a="1"/>
  <c r="E35" i="2" s="1"/>
  <c r="H36" i="2" a="1"/>
  <c r="H36" i="2" s="1"/>
  <c r="E34" i="2" a="1"/>
  <c r="E34" i="2" s="1"/>
  <c r="E33" i="2" a="1"/>
  <c r="E33" i="2" s="1"/>
  <c r="H33" i="2" a="1"/>
  <c r="H33" i="2" s="1"/>
  <c r="A81" i="11" s="1" a="1"/>
  <c r="A81" i="11" s="1"/>
  <c r="H35" i="2" a="1"/>
  <c r="H35" i="2" s="1"/>
  <c r="A62" i="11" a="1"/>
  <c r="A62" i="11" s="1"/>
  <c r="D26" i="1" a="1"/>
  <c r="D26" i="1" s="1"/>
  <c r="B32" i="11" a="1"/>
  <c r="B32" i="11" s="1"/>
  <c r="D25" i="1" a="1"/>
  <c r="D25" i="1" s="1"/>
  <c r="D5" i="1" a="1"/>
  <c r="D5" i="1" s="1"/>
  <c r="D24" i="1" a="1"/>
  <c r="D24" i="1" s="1"/>
  <c r="D4" i="1" a="1"/>
  <c r="D4" i="1" s="1"/>
  <c r="D6" i="1" a="1"/>
  <c r="D6" i="1" s="1"/>
  <c r="D8" i="1" a="1"/>
  <c r="D8" i="1" s="1"/>
  <c r="D18" i="1" a="1"/>
  <c r="D18" i="1" s="1"/>
  <c r="B83" i="11" a="1"/>
  <c r="B83" i="11" s="1"/>
  <c r="D16" i="1" a="1"/>
  <c r="D16" i="1" s="1"/>
  <c r="D12" i="1" a="1"/>
  <c r="D12" i="1" s="1"/>
  <c r="D19" i="1" a="1"/>
  <c r="D19" i="1" s="1"/>
  <c r="D15" i="1" a="1"/>
  <c r="D15" i="1" s="1"/>
  <c r="A2" i="11" a="1"/>
  <c r="A2" i="11" s="1"/>
  <c r="D3" i="1" a="1"/>
  <c r="D3" i="1" s="1"/>
  <c r="D23" i="1" a="1"/>
  <c r="D23" i="1" s="1"/>
  <c r="D17" i="1" a="1"/>
  <c r="D17" i="1" s="1"/>
  <c r="D20" i="1" a="1"/>
  <c r="D20" i="1" s="1"/>
  <c r="D29" i="1" a="1"/>
  <c r="D29" i="1" s="1"/>
  <c r="D11" i="1" a="1"/>
  <c r="D11" i="1" s="1"/>
  <c r="D27" i="1" a="1"/>
  <c r="D27" i="1" s="1"/>
  <c r="D9" i="1" a="1"/>
  <c r="D9" i="1" s="1"/>
  <c r="D22" i="1" a="1"/>
  <c r="D22" i="1" s="1"/>
  <c r="D13" i="1" a="1"/>
  <c r="D13" i="1" s="1"/>
  <c r="D10" i="1" a="1"/>
  <c r="D10" i="1" s="1"/>
  <c r="A80" i="11" l="1" a="1"/>
  <c r="A80" i="11" s="1"/>
  <c r="A36" i="11" a="1"/>
  <c r="A36" i="11" s="1"/>
  <c r="A17" i="11" a="1"/>
  <c r="A17" i="11" s="1"/>
  <c r="A60" i="11" a="1"/>
  <c r="A60" i="11" s="1"/>
  <c r="B44" i="11" a="1"/>
  <c r="B44" i="11" s="1"/>
  <c r="B101" i="11" a="1"/>
  <c r="B101" i="11" s="1"/>
  <c r="B104" i="11" a="1"/>
  <c r="B104" i="11" s="1"/>
  <c r="A84" i="11" a="1"/>
  <c r="A84" i="11" s="1"/>
  <c r="A102" i="11" a="1"/>
  <c r="A102" i="11" s="1"/>
  <c r="A105" i="11" a="1"/>
  <c r="A105" i="11" s="1"/>
  <c r="A101" i="11" a="1"/>
  <c r="A101" i="11" s="1"/>
  <c r="A104" i="11" a="1"/>
  <c r="A104" i="11" s="1"/>
  <c r="B102" i="11" a="1"/>
  <c r="B102" i="11" s="1"/>
  <c r="B105" i="11" a="1"/>
  <c r="B105" i="11" s="1"/>
  <c r="B80" i="11" a="1"/>
  <c r="B80" i="11" s="1"/>
  <c r="A41" i="11" a="1"/>
  <c r="A41" i="11" s="1"/>
  <c r="B95" i="11" a="1"/>
  <c r="B95" i="11" s="1"/>
  <c r="B98" i="11" a="1"/>
  <c r="B98" i="11" s="1"/>
  <c r="A65" i="11" a="1"/>
  <c r="A65" i="11" s="1"/>
  <c r="B71" i="11" a="1"/>
  <c r="B71" i="11" s="1"/>
  <c r="B81" i="11" a="1"/>
  <c r="B81" i="11" s="1"/>
  <c r="A39" i="11" a="1"/>
  <c r="A39" i="11" s="1"/>
  <c r="A23" i="11" a="1"/>
  <c r="A23" i="11" s="1"/>
  <c r="B27" i="11" a="1"/>
  <c r="B27" i="11" s="1"/>
  <c r="A56" i="11" a="1"/>
  <c r="A56" i="11" s="1"/>
  <c r="A96" i="11" a="1"/>
  <c r="A96" i="11" s="1"/>
  <c r="A99" i="11" a="1"/>
  <c r="A99" i="11" s="1"/>
  <c r="A95" i="11" a="1"/>
  <c r="A95" i="11" s="1"/>
  <c r="A98" i="11" a="1"/>
  <c r="A98" i="11" s="1"/>
  <c r="B48" i="11" a="1"/>
  <c r="B48" i="11" s="1"/>
  <c r="B96" i="11" a="1"/>
  <c r="B96" i="11" s="1"/>
  <c r="B99" i="11" a="1"/>
  <c r="B99" i="11" s="1"/>
  <c r="A86" i="11" a="1"/>
  <c r="A86" i="11" s="1"/>
  <c r="B50" i="11" a="1"/>
  <c r="B50" i="11" s="1"/>
  <c r="A48" i="11" a="1"/>
  <c r="A48" i="11" s="1"/>
  <c r="A15" i="11" a="1"/>
  <c r="A15" i="11" s="1"/>
  <c r="A53" i="11" a="1"/>
  <c r="A53" i="11" s="1"/>
  <c r="B18" i="11" a="1"/>
  <c r="B18" i="11" s="1"/>
  <c r="A83" i="11" a="1"/>
  <c r="A83" i="11" s="1"/>
  <c r="B62" i="11" a="1"/>
  <c r="B62" i="11" s="1"/>
  <c r="B65" i="11" a="1"/>
  <c r="B65" i="11" s="1"/>
  <c r="B74" i="11" a="1"/>
  <c r="B74" i="11" s="1"/>
  <c r="B41" i="11" a="1"/>
  <c r="B41" i="11" s="1"/>
  <c r="B42" i="11" a="1"/>
  <c r="B42" i="11" s="1"/>
  <c r="B33" i="11" a="1"/>
  <c r="B33" i="11" s="1"/>
  <c r="B51" i="11" a="1"/>
  <c r="B51" i="11" s="1"/>
  <c r="A35" i="11" a="1"/>
  <c r="A35" i="11" s="1"/>
  <c r="B14" i="11" a="1"/>
  <c r="B14" i="11" s="1"/>
  <c r="B86" i="11" a="1"/>
  <c r="B86" i="11" s="1"/>
  <c r="B78" i="11" a="1"/>
  <c r="B78" i="11" s="1"/>
  <c r="B17" i="11" a="1"/>
  <c r="B17" i="11" s="1"/>
  <c r="A30" i="11" a="1"/>
  <c r="A30" i="11" s="1"/>
  <c r="B24" i="11" a="1"/>
  <c r="B24" i="11" s="1"/>
  <c r="A21" i="11" a="1"/>
  <c r="A21" i="11" s="1"/>
  <c r="A77" i="11" a="1"/>
  <c r="A77" i="11" s="1"/>
  <c r="B77" i="11" a="1"/>
  <c r="B77" i="11" s="1"/>
  <c r="A87" i="11" a="1"/>
  <c r="A87" i="11" s="1"/>
  <c r="A90" i="11" a="1"/>
  <c r="A90" i="11" s="1"/>
  <c r="A93" i="11" a="1"/>
  <c r="A93" i="11" s="1"/>
  <c r="A89" i="11" a="1"/>
  <c r="A89" i="11" s="1"/>
  <c r="A92" i="11" a="1"/>
  <c r="A92" i="11" s="1"/>
  <c r="B38" i="11" a="1"/>
  <c r="B38" i="11" s="1"/>
  <c r="B23" i="11" a="1"/>
  <c r="B23" i="11" s="1"/>
  <c r="B63" i="11" a="1"/>
  <c r="B63" i="11" s="1"/>
  <c r="B66" i="11" a="1"/>
  <c r="B66" i="11" s="1"/>
  <c r="A20" i="11" a="1"/>
  <c r="A20" i="11" s="1"/>
  <c r="A74" i="11" a="1"/>
  <c r="A74" i="11" s="1"/>
  <c r="B47" i="11" a="1"/>
  <c r="B47" i="11" s="1"/>
  <c r="A59" i="11" a="1"/>
  <c r="A59" i="11" s="1"/>
  <c r="B53" i="11" a="1"/>
  <c r="B53" i="11" s="1"/>
  <c r="B90" i="11" a="1"/>
  <c r="B90" i="11" s="1"/>
  <c r="B93" i="11" a="1"/>
  <c r="B93" i="11" s="1"/>
  <c r="B87" i="11" a="1"/>
  <c r="B87" i="11" s="1"/>
  <c r="B15" i="11" a="1"/>
  <c r="B15" i="11" s="1"/>
  <c r="A63" i="11" a="1"/>
  <c r="A63" i="11" s="1"/>
  <c r="A66" i="11" a="1"/>
  <c r="A66" i="11" s="1"/>
  <c r="B59" i="11" a="1"/>
  <c r="B59" i="11" s="1"/>
  <c r="A44" i="11" a="1"/>
  <c r="A44" i="11" s="1"/>
  <c r="A50" i="11" a="1"/>
  <c r="A50" i="11" s="1"/>
  <c r="B29" i="11" a="1"/>
  <c r="B29" i="11" s="1"/>
  <c r="A75" i="11" a="1"/>
  <c r="A75" i="11" s="1"/>
  <c r="A78" i="11" a="1"/>
  <c r="A78" i="11" s="1"/>
  <c r="B30" i="11" a="1"/>
  <c r="B30" i="11" s="1"/>
  <c r="A18" i="11" a="1"/>
  <c r="A18" i="11" s="1"/>
  <c r="A72" i="11" a="1"/>
  <c r="A72" i="11" s="1"/>
  <c r="A57" i="11" a="1"/>
  <c r="A57" i="11" s="1"/>
  <c r="A26" i="11" a="1"/>
  <c r="A26" i="11" s="1"/>
  <c r="B56" i="11" a="1"/>
  <c r="B56" i="11" s="1"/>
  <c r="B89" i="11" a="1"/>
  <c r="B89" i="11" s="1"/>
  <c r="B92" i="11" a="1"/>
  <c r="B92" i="11" s="1"/>
  <c r="B84" i="11" a="1"/>
  <c r="B84" i="11" s="1"/>
  <c r="A38" i="11" a="1"/>
  <c r="A38" i="11" s="1"/>
  <c r="B57" i="11" a="1"/>
  <c r="B57" i="11" s="1"/>
  <c r="A42" i="11" a="1"/>
  <c r="A42" i="11" s="1"/>
  <c r="B45" i="11" a="1"/>
  <c r="B45" i="11" s="1"/>
  <c r="J28" i="2" a="1"/>
  <c r="J28" i="2" s="1"/>
  <c r="B69" i="11" a="1"/>
  <c r="B69" i="11" s="1"/>
  <c r="G28" i="2" a="1"/>
  <c r="G28" i="2" s="1"/>
  <c r="A68" i="11" a="1"/>
  <c r="A68" i="11" s="1"/>
  <c r="J30" i="2" a="1"/>
  <c r="J30" i="2" s="1"/>
  <c r="B75" i="11" a="1"/>
  <c r="B75" i="11" s="1"/>
  <c r="J29" i="2" a="1"/>
  <c r="J29" i="2" s="1"/>
  <c r="B72" i="11" a="1"/>
  <c r="B72" i="11" s="1"/>
  <c r="G26" i="2" a="1"/>
  <c r="G26" i="2" s="1"/>
  <c r="G31" i="2" a="1"/>
  <c r="G31" i="2" s="1"/>
  <c r="G34" i="2" a="1"/>
  <c r="G34" i="2" s="1"/>
  <c r="G21" i="2" a="1"/>
  <c r="G21" i="2" s="1"/>
  <c r="G16" i="2" a="1"/>
  <c r="G16" i="2" s="1"/>
  <c r="J17" i="2" a="1"/>
  <c r="J17" i="2" s="1"/>
  <c r="G6" i="2" a="1"/>
  <c r="G6" i="2" s="1"/>
  <c r="G13" i="2" a="1"/>
  <c r="G13" i="2" s="1"/>
  <c r="G9" i="2" a="1"/>
  <c r="G9" i="2" s="1"/>
  <c r="J20" i="2" a="1"/>
  <c r="J20" i="2" s="1"/>
  <c r="G8" i="2" a="1"/>
  <c r="G8" i="2" s="1"/>
  <c r="J25" i="2" a="1"/>
  <c r="J25" i="2" s="1"/>
  <c r="G36" i="2" a="1"/>
  <c r="G36" i="2" s="1"/>
  <c r="J35" i="2" a="1"/>
  <c r="J35" i="2" s="1"/>
  <c r="G35" i="2" a="1"/>
  <c r="G35" i="2" s="1"/>
  <c r="G22" i="2" a="1"/>
  <c r="G22" i="2" s="1"/>
  <c r="G29" i="2" a="1"/>
  <c r="G29" i="2" s="1"/>
  <c r="G3" i="2" a="1"/>
  <c r="G3" i="2" s="1"/>
  <c r="J22" i="2" a="1"/>
  <c r="J22" i="2" s="1"/>
  <c r="J3" i="2" a="1"/>
  <c r="J3" i="2" s="1"/>
  <c r="G10" i="2" a="1"/>
  <c r="G10" i="2" s="1"/>
  <c r="J13" i="2" a="1"/>
  <c r="J13" i="2" s="1"/>
  <c r="G11" i="2" a="1"/>
  <c r="G11" i="2" s="1"/>
  <c r="J16" i="2" a="1"/>
  <c r="J16" i="2" s="1"/>
  <c r="G20" i="2" a="1"/>
  <c r="G20" i="2" s="1"/>
  <c r="J23" i="2" a="1"/>
  <c r="J23" i="2" s="1"/>
  <c r="J8" i="2" a="1"/>
  <c r="J8" i="2" s="1"/>
  <c r="J9" i="2" a="1"/>
  <c r="J9" i="2" s="1"/>
  <c r="J36" i="2" a="1"/>
  <c r="J36" i="2" s="1"/>
  <c r="G33" i="2" a="1"/>
  <c r="G33" i="2" s="1"/>
  <c r="J15" i="2" a="1"/>
  <c r="J15" i="2" s="1"/>
  <c r="G14" i="2" a="1"/>
  <c r="G14" i="2" s="1"/>
  <c r="J10" i="2" a="1"/>
  <c r="J10" i="2" s="1"/>
  <c r="G15" i="2" a="1"/>
  <c r="G15" i="2" s="1"/>
  <c r="G30" i="2" a="1"/>
  <c r="G30" i="2" s="1"/>
  <c r="J31" i="2" a="1"/>
  <c r="J31" i="2" s="1"/>
  <c r="J6" i="2" a="1"/>
  <c r="J6" i="2" s="1"/>
  <c r="J4" i="2" a="1"/>
  <c r="J4" i="2" s="1"/>
  <c r="G24" i="2" a="1"/>
  <c r="G24" i="2" s="1"/>
  <c r="G25" i="2" a="1"/>
  <c r="G25" i="2" s="1"/>
  <c r="J11" i="2" a="1"/>
  <c r="J11" i="2" s="1"/>
  <c r="J7" i="2" a="1"/>
  <c r="J7" i="2" s="1"/>
  <c r="J34" i="2" a="1"/>
  <c r="J34" i="2" s="1"/>
  <c r="J33" i="2" a="1"/>
  <c r="J33" i="2" s="1"/>
  <c r="J18" i="2" a="1"/>
  <c r="J18" i="2" s="1"/>
  <c r="J21" i="2" a="1"/>
  <c r="J21" i="2" s="1"/>
  <c r="G2" i="2" a="1"/>
  <c r="G2" i="2" s="1"/>
  <c r="G18" i="2" a="1"/>
  <c r="G18" i="2" s="1"/>
  <c r="J14" i="2" a="1"/>
  <c r="J14" i="2" s="1"/>
  <c r="G17" i="2" a="1"/>
  <c r="G17" i="2" s="1"/>
  <c r="G7" i="2" a="1"/>
  <c r="G7" i="2" s="1"/>
  <c r="J2" i="2" a="1"/>
  <c r="J2" i="2" s="1"/>
  <c r="G23" i="2" a="1"/>
  <c r="G23" i="2" s="1"/>
  <c r="G4" i="2" a="1"/>
  <c r="G4" i="2" s="1"/>
  <c r="J24" i="2" a="1"/>
  <c r="J2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<sst xmlns="http://schemas.openxmlformats.org/spreadsheetml/2006/main" count="282" uniqueCount="164">
  <si>
    <t>Name</t>
  </si>
  <si>
    <t>Text</t>
  </si>
  <si>
    <t>Forum</t>
  </si>
  <si>
    <t>Image</t>
  </si>
  <si>
    <t>Path</t>
  </si>
  <si>
    <t>Intro</t>
  </si>
  <si>
    <t>Features</t>
  </si>
  <si>
    <t>Applications</t>
  </si>
  <si>
    <t>Benefits</t>
  </si>
  <si>
    <t>Feature1</t>
  </si>
  <si>
    <t>Images/build.png</t>
  </si>
  <si>
    <t>Feature2</t>
  </si>
  <si>
    <t>Images/location.png</t>
  </si>
  <si>
    <t>Feature3</t>
  </si>
  <si>
    <t>Images/forum.png</t>
  </si>
  <si>
    <t>Feature4</t>
  </si>
  <si>
    <t>Images/room.png</t>
  </si>
  <si>
    <t>Feature5</t>
  </si>
  <si>
    <t>Images/content.png</t>
  </si>
  <si>
    <t>Feature6</t>
  </si>
  <si>
    <t>Images/image.png</t>
  </si>
  <si>
    <t>Application1</t>
  </si>
  <si>
    <t>Images/maps.png</t>
  </si>
  <si>
    <t>Application2</t>
  </si>
  <si>
    <t>Images/tour.png</t>
  </si>
  <si>
    <t>Application3</t>
  </si>
  <si>
    <t>Images/meetups.png</t>
  </si>
  <si>
    <t>Application4</t>
  </si>
  <si>
    <t>Images/game.png</t>
  </si>
  <si>
    <t>Application5</t>
  </si>
  <si>
    <t>Images/find.png</t>
  </si>
  <si>
    <t>Application6</t>
  </si>
  <si>
    <t>Images/sitemap.png</t>
  </si>
  <si>
    <t>Benefit1</t>
  </si>
  <si>
    <t>Images/community.png</t>
  </si>
  <si>
    <t>Benefit2</t>
  </si>
  <si>
    <t>Spatial Learning</t>
  </si>
  <si>
    <t>Images/slide.png</t>
  </si>
  <si>
    <t>Benefit3</t>
  </si>
  <si>
    <t>Spatial Memory</t>
  </si>
  <si>
    <t>Benefit4</t>
  </si>
  <si>
    <t>&lt;size=80%&gt;Better Recollection</t>
  </si>
  <si>
    <t>Benefit5</t>
  </si>
  <si>
    <t>&lt;size=80%&gt;Better Engagement</t>
  </si>
  <si>
    <t>Benefit6</t>
  </si>
  <si>
    <t>Improved Grasping</t>
  </si>
  <si>
    <t>Location</t>
  </si>
  <si>
    <t>End</t>
  </si>
  <si>
    <t>Start</t>
  </si>
  <si>
    <t>File Name</t>
  </si>
  <si>
    <t>My World</t>
  </si>
  <si>
    <t>Status</t>
  </si>
  <si>
    <t>Off</t>
  </si>
  <si>
    <t>Version</t>
  </si>
  <si>
    <t>0.0.2</t>
  </si>
  <si>
    <t>Syntax</t>
  </si>
  <si>
    <t>https://www.spotmaze.com</t>
  </si>
  <si>
    <t>https://spotmaze.world/spotmaze</t>
  </si>
  <si>
    <t>&lt;size=80%&gt;Applications</t>
  </si>
  <si>
    <t>&lt;size=70%&gt;Build Worlds&lt;/size&gt;\n\n\n\n\n</t>
  </si>
  <si>
    <t>&lt;size=70%&gt;Create Locations&lt;/size&gt;\n\n\n\n\n</t>
  </si>
  <si>
    <t>&lt;size=70%&gt;Connect Forums&lt;/size&gt;\n\n\n\n\n</t>
  </si>
  <si>
    <t>&lt;size=70%&gt;Create Rooms&lt;/size&gt;\n\n\n\n\n</t>
  </si>
  <si>
    <t>&lt;size=70%&gt;Write Content&lt;/size&gt;\n\n\n\n\n</t>
  </si>
  <si>
    <t>&lt;size=70%&gt;Embed Images&lt;/size&gt;\n\n\n\n\n</t>
  </si>
  <si>
    <t>&lt;size=70%&gt;Building Maps&lt;/size&gt;\n\n\n\n\n</t>
  </si>
  <si>
    <t>&lt;size=70%&gt;Tour Creation&lt;/size&gt;\n\n\n\n\n</t>
  </si>
  <si>
    <t>&lt;size=50%&gt;Organizing Meetups&lt;/size&gt;\n\n\n\n\n</t>
  </si>
  <si>
    <t>&lt;size=80%&gt;Gamification&lt;/size&gt;\n\n\n\n\n</t>
  </si>
  <si>
    <t>&lt;size=70%&gt;Site Maps&lt;/size&gt;\n\n\n\n\n</t>
  </si>
  <si>
    <t>&lt;size=70%&gt;Finding Content&lt;/size&gt;\n\n\n\n\n</t>
  </si>
  <si>
    <t>&lt;size=70%&gt;Community&lt;/size&gt;\n\n\n\n\n</t>
  </si>
  <si>
    <t>What is Spotmaze?&lt;size=60%&gt;\n\n(Press &lt;u&gt;Enter&lt;/u&gt; Here)</t>
  </si>
  <si>
    <t>X</t>
  </si>
  <si>
    <t>Y</t>
  </si>
  <si>
    <t>Xmin</t>
  </si>
  <si>
    <t>Xmax</t>
  </si>
  <si>
    <t>Ymin</t>
  </si>
  <si>
    <t>Ymax</t>
  </si>
  <si>
    <t>World</t>
  </si>
  <si>
    <t>X1</t>
  </si>
  <si>
    <t>Y1</t>
  </si>
  <si>
    <t>X2</t>
  </si>
  <si>
    <t>Y2</t>
  </si>
  <si>
    <t>Blank_2</t>
  </si>
  <si>
    <t>Blank_1</t>
  </si>
  <si>
    <t>Blank_3</t>
  </si>
  <si>
    <t>Blank_4</t>
  </si>
  <si>
    <t>P1</t>
  </si>
  <si>
    <t>P2</t>
  </si>
  <si>
    <t>[[3,6],[3,7],[1,7],[1,6]]</t>
  </si>
  <si>
    <t>Paths</t>
  </si>
  <si>
    <t>Manually create paths using grid locations below</t>
  </si>
  <si>
    <t>Use the grid below to manually entering the locations (if needed)</t>
  </si>
  <si>
    <t>Path 1</t>
  </si>
  <si>
    <t>Path 2</t>
  </si>
  <si>
    <t>Details</t>
  </si>
  <si>
    <t>Login</t>
  </si>
  <si>
    <t>Option 2 : Rename &amp; Upload</t>
  </si>
  <si>
    <t>Option 1 : Copy &amp; Paste</t>
  </si>
  <si>
    <t>1. Fork the default Spotmaze Repository</t>
  </si>
  <si>
    <t>Room</t>
  </si>
  <si>
    <t>https://spotmaze.world/spotmaze?room1</t>
  </si>
  <si>
    <t>Dowload Spreadsheet: https://docs.google.com/spreadsheets/d/1Q0a8-2sIvj7IQSQ2C1mAVWkEygv6768o</t>
  </si>
  <si>
    <t>Option 3 : Create a custom room</t>
  </si>
  <si>
    <t>Your forked repo : https://github.com/[username]/spotmaze</t>
  </si>
  <si>
    <t>Link</t>
  </si>
  <si>
    <t>Sheet version number</t>
  </si>
  <si>
    <t xml:space="preserve">Go to Excel Convererter: https://beautifytools.com/excel-to-json-converter.php# </t>
  </si>
  <si>
    <t>Drag 3 cells 
at a time</t>
  </si>
  <si>
    <t>Fork this Repo : https://github.com/spotmaze/spotmaze
Run : https://spotmaze.world/username</t>
  </si>
  <si>
    <t>Link to your world : https://spotmaze.world/username</t>
  </si>
  <si>
    <t>Link to your room : https://spotmaze.world/username?myroom</t>
  </si>
  <si>
    <t>Steps to convert your Excel file</t>
  </si>
  <si>
    <t>Run</t>
  </si>
  <si>
    <t>Convert</t>
  </si>
  <si>
    <t>Upload</t>
  </si>
  <si>
    <t>Go to this website</t>
  </si>
  <si>
    <t>(1) Create/Login to your GitHub account
(2) Fork the spotmaze repository on GItHub.
(3) Run your world using the Spotmaze URL with your GitHub username.</t>
  </si>
  <si>
    <t>Steps to get your world running online</t>
  </si>
  <si>
    <t>1. Download the default Spotmaze spreadsheet</t>
  </si>
  <si>
    <t>(1) Download from the default sheet to get started. 
(2) Edit the Spots and Maze sheet.
(3) Extend any extra segments to the Paths sheet for visualization .</t>
  </si>
  <si>
    <t>(1) Go to the online excel convererter 
(2) Upload your excel file to the online convererter.
(3) Press convert and download the converted file.</t>
  </si>
  <si>
    <r>
      <t xml:space="preserve">2. Upload </t>
    </r>
    <r>
      <rPr>
        <b/>
        <sz val="11"/>
        <color theme="1"/>
        <rFont val="Calibri"/>
        <family val="2"/>
      </rPr>
      <t>→</t>
    </r>
    <r>
      <rPr>
        <b/>
        <sz val="11"/>
        <color theme="1"/>
        <rFont val="Calibri"/>
        <family val="2"/>
        <scheme val="minor"/>
      </rPr>
      <t xml:space="preserve"> Convert → Download</t>
    </r>
  </si>
  <si>
    <t>Options to upload your converted file</t>
  </si>
  <si>
    <r>
      <t xml:space="preserve">(1) Rename the dowloaded file to </t>
    </r>
    <r>
      <rPr>
        <b/>
        <i/>
        <sz val="11"/>
        <color rgb="FF002060"/>
        <rFont val="Calibri"/>
        <family val="2"/>
        <scheme val="minor"/>
      </rPr>
      <t>spotmaze.json</t>
    </r>
    <r>
      <rPr>
        <sz val="11"/>
        <color rgb="FF002060"/>
        <rFont val="Calibri"/>
        <family val="2"/>
        <scheme val="minor"/>
      </rPr>
      <t xml:space="preserve"> 
(2) Upload this to your forked repo (replacing the existing file).</t>
    </r>
  </si>
  <si>
    <r>
      <t xml:space="preserve">(1) Rename the dowloaded file to </t>
    </r>
    <r>
      <rPr>
        <b/>
        <sz val="11"/>
        <color rgb="FF002060"/>
        <rFont val="Calibri"/>
        <family val="2"/>
        <scheme val="minor"/>
      </rPr>
      <t>myroom</t>
    </r>
    <r>
      <rPr>
        <b/>
        <i/>
        <sz val="11"/>
        <color rgb="FF002060"/>
        <rFont val="Calibri"/>
        <family val="2"/>
        <scheme val="minor"/>
      </rPr>
      <t>.json</t>
    </r>
    <r>
      <rPr>
        <sz val="11"/>
        <color rgb="FF002060"/>
        <rFont val="Calibri"/>
        <family val="2"/>
        <scheme val="minor"/>
      </rPr>
      <t xml:space="preserve"> 
(2) Upload this file to your forked repo.</t>
    </r>
  </si>
  <si>
    <r>
      <t xml:space="preserve">(1) Copy all the text from your dowloaded file.
(2) Open your forked Spotmaze repo
(3) There you'll find a </t>
    </r>
    <r>
      <rPr>
        <b/>
        <sz val="11"/>
        <color rgb="FF002060"/>
        <rFont val="Calibri"/>
        <family val="2"/>
        <scheme val="minor"/>
      </rPr>
      <t>spotmaze.json</t>
    </r>
    <r>
      <rPr>
        <sz val="11"/>
        <color rgb="FF002060"/>
        <rFont val="Calibri"/>
        <family val="2"/>
        <scheme val="minor"/>
      </rPr>
      <t xml:space="preserve"> file, begin editing this file.
(4) Paste the converted text from your dowloaded file into this file.
</t>
    </r>
  </si>
  <si>
    <t>Teleport</t>
  </si>
  <si>
    <t>https://www.spotmaze.com/forum/welcome-to-the-forum/what-is-spotmaze</t>
  </si>
  <si>
    <t>https://www.spotmaze.com/forum/welcome-to-the-forum/features</t>
  </si>
  <si>
    <t>https://www.spotmaze.com/forum/welcome-to-the-forum/applications</t>
  </si>
  <si>
    <t>https://www.spotmaze.com/forum/welcome-to-the-forum/benefits</t>
  </si>
  <si>
    <t>https://www.spotmaze.com/forum/welcome-to-the-forum/build-worlds</t>
  </si>
  <si>
    <t>https://www.spotmaze.com/forum/welcome-to-the-forum/create-locations</t>
  </si>
  <si>
    <t>https://www.spotmaze.com/forum/welcome-to-the-forum/connect-forums</t>
  </si>
  <si>
    <t>https://www.spotmaze.com/forum/welcome-to-the-forum/create-rooms</t>
  </si>
  <si>
    <t>https://www.spotmaze.com/forum/welcome-to-the-forum/write-content</t>
  </si>
  <si>
    <t>https://www.spotmaze.com/forum/welcome-to-the-forum/embed-images</t>
  </si>
  <si>
    <t>https://www.spotmaze.com/forum/welcome-to-the-forum/building-maps</t>
  </si>
  <si>
    <t>https://www.spotmaze.com/forum/welcome-to-the-forum/tour-creation</t>
  </si>
  <si>
    <t>https://www.spotmaze.com/forum/welcome-to-the-forum/organizing-meetups</t>
  </si>
  <si>
    <t>https://www.spotmaze.com/forum/welcome-to-the-forum/gamification</t>
  </si>
  <si>
    <t>https://www.spotmaze.com/forum/welcome-to-the-forum/finding-content</t>
  </si>
  <si>
    <t>https://www.spotmaze.com/forum/welcome-to-the-forum/site-maps</t>
  </si>
  <si>
    <t>https://www.spotmaze.com/forum/welcome-to-the-forum/community</t>
  </si>
  <si>
    <t>https://www.spotmaze.com/forum/welcome-to-the-forum/spatial-learning</t>
  </si>
  <si>
    <t>https://www.spotmaze.com/forum/welcome-to-the-forum/spatial-memory</t>
  </si>
  <si>
    <t>https://www.spotmaze.com/forum/welcome-to-the-forum/better-recollection</t>
  </si>
  <si>
    <t>https://www.spotmaze.com/forum/welcome-to-the-forum/better-engagement</t>
  </si>
  <si>
    <t>https://www.spotmaze.com/forum/welcome-to-the-forum/improved-grasping</t>
  </si>
  <si>
    <t>Tutorials</t>
  </si>
  <si>
    <t>https://drive.google.com/drive/folders/1uFoeFM3rilbJz49_iyZiGy5QKXaBKMjv?usp=sharing</t>
  </si>
  <si>
    <t>Download Video Tutorials</t>
  </si>
  <si>
    <t>Dowload</t>
  </si>
  <si>
    <t>Tutorials Cloud folder</t>
  </si>
  <si>
    <t>Teleport1</t>
  </si>
  <si>
    <t>Teleport2</t>
  </si>
  <si>
    <t>Images/teleport.png</t>
  </si>
  <si>
    <t>Teleport\n\n\n\n\n&lt;size=60%&gt;(Press &lt;u&gt;Enter&lt;/u&gt; Here)</t>
  </si>
  <si>
    <t>(1) Download the video tutorials.</t>
  </si>
  <si>
    <r>
      <t xml:space="preserve">Build your Spotmaze map here!
</t>
    </r>
    <r>
      <rPr>
        <b/>
        <sz val="11"/>
        <color theme="0" tint="-0.499984740745262"/>
        <rFont val="Calibri"/>
        <family val="2"/>
        <scheme val="minor"/>
      </rPr>
      <t xml:space="preserve">(a) Write the names of your spots in the Spots Sheet. (b) Enter your spot names below using the dropdown menus (click to activate &amp; press </t>
    </r>
    <r>
      <rPr>
        <b/>
        <sz val="11"/>
        <color theme="1"/>
        <rFont val="Calibri"/>
        <family val="2"/>
        <scheme val="minor"/>
      </rPr>
      <t>Left-ALT(⌥)</t>
    </r>
    <r>
      <rPr>
        <b/>
        <sz val="11"/>
        <color theme="0" tint="-0.499984740745262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+</t>
    </r>
    <r>
      <rPr>
        <b/>
        <sz val="11"/>
        <color theme="0" tint="-0.499984740745262"/>
        <rFont val="Calibri"/>
        <family val="2"/>
        <scheme val="minor"/>
      </rPr>
      <t xml:space="preserve"> </t>
    </r>
    <r>
      <rPr>
        <b/>
        <sz val="11"/>
        <rFont val="Calibri"/>
        <family val="2"/>
      </rPr>
      <t>↓↑</t>
    </r>
    <r>
      <rPr>
        <b/>
        <sz val="11"/>
        <color theme="0" tint="-0.499984740745262"/>
        <rFont val="Calibri"/>
        <family val="2"/>
        <scheme val="minor"/>
      </rPr>
      <t>[up-down arrows] to select).</t>
    </r>
  </si>
  <si>
    <t>Column1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</si>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</sst>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Arial Unicode MS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20"/>
      <name val="Arial"/>
      <family val="2"/>
    </font>
    <font>
      <sz val="22"/>
      <color theme="1"/>
      <name val="Calibri"/>
      <family val="2"/>
      <scheme val="minor"/>
    </font>
    <font>
      <b/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0"/>
      <color theme="0" tint="-0.34998626667073579"/>
      <name val="Arial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11C1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sz val="10"/>
      <color theme="0" tint="-0.34998626667073579"/>
      <name val="Arial"/>
      <family val="2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rgb="FF11C1FF"/>
      <name val="Arial"/>
      <family val="2"/>
    </font>
    <font>
      <sz val="9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CF1F8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theme="0" tint="-0.249977111117893"/>
        <bgColor indexed="64"/>
      </patternFill>
    </fill>
  </fills>
  <borders count="5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left"/>
    </xf>
    <xf numFmtId="0" fontId="1" fillId="0" borderId="0" xfId="1" applyBorder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1" fillId="0" borderId="0" xfId="1" applyBorder="1" applyAlignment="1" applyProtection="1">
      <alignment horizontal="left" vertical="center"/>
      <protection locked="0"/>
    </xf>
    <xf numFmtId="0" fontId="1" fillId="0" borderId="0" xfId="1" applyBorder="1" applyAlignment="1" applyProtection="1">
      <alignment vertical="center"/>
      <protection locked="0"/>
    </xf>
    <xf numFmtId="0" fontId="1" fillId="0" borderId="0" xfId="0" applyFont="1" applyBorder="1" applyAlignment="1" applyProtection="1">
      <alignment vertical="center"/>
      <protection locked="0"/>
    </xf>
    <xf numFmtId="0" fontId="1" fillId="0" borderId="0" xfId="0" applyFont="1" applyBorder="1" applyAlignment="1" applyProtection="1">
      <alignment horizontal="left" vertical="center" wrapText="1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Protection="1">
      <protection locked="0"/>
    </xf>
    <xf numFmtId="0" fontId="1" fillId="0" borderId="0" xfId="1" applyBorder="1" applyAlignment="1" applyProtection="1">
      <alignment horizontal="center" vertical="center"/>
      <protection locked="0"/>
    </xf>
    <xf numFmtId="0" fontId="7" fillId="0" borderId="0" xfId="1" applyFont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2" fillId="0" borderId="2" xfId="2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</xf>
    <xf numFmtId="0" fontId="4" fillId="0" borderId="8" xfId="0" applyFont="1" applyBorder="1" applyAlignment="1" applyProtection="1">
      <alignment horizontal="center" vertical="center"/>
      <protection locked="0"/>
    </xf>
    <xf numFmtId="0" fontId="15" fillId="0" borderId="0" xfId="1" applyFont="1" applyBorder="1" applyAlignment="1" applyProtection="1">
      <alignment horizontal="center" vertical="center"/>
      <protection locked="0"/>
    </xf>
    <xf numFmtId="0" fontId="15" fillId="0" borderId="0" xfId="1" applyFont="1" applyBorder="1" applyAlignment="1" applyProtection="1">
      <alignment horizontal="center" vertical="top"/>
      <protection locked="0"/>
    </xf>
    <xf numFmtId="0" fontId="14" fillId="2" borderId="9" xfId="0" applyFont="1" applyFill="1" applyBorder="1" applyAlignment="1" applyProtection="1">
      <alignment horizontal="center"/>
      <protection locked="0"/>
    </xf>
    <xf numFmtId="0" fontId="14" fillId="2" borderId="3" xfId="0" applyFont="1" applyFill="1" applyBorder="1" applyAlignment="1" applyProtection="1">
      <alignment horizontal="center"/>
      <protection locked="0"/>
    </xf>
    <xf numFmtId="0" fontId="14" fillId="2" borderId="10" xfId="0" applyFont="1" applyFill="1" applyBorder="1" applyAlignment="1" applyProtection="1">
      <alignment horizontal="center"/>
      <protection locked="0"/>
    </xf>
    <xf numFmtId="0" fontId="14" fillId="2" borderId="1" xfId="0" applyFont="1" applyFill="1" applyBorder="1" applyAlignment="1" applyProtection="1">
      <alignment horizontal="center"/>
      <protection locked="0"/>
    </xf>
    <xf numFmtId="0" fontId="14" fillId="3" borderId="2" xfId="0" applyFont="1" applyFill="1" applyBorder="1" applyAlignment="1" applyProtection="1">
      <alignment horizontal="center"/>
      <protection locked="0"/>
    </xf>
    <xf numFmtId="0" fontId="14" fillId="3" borderId="8" xfId="0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 applyProtection="1">
      <alignment horizontal="center"/>
      <protection locked="0"/>
    </xf>
    <xf numFmtId="0" fontId="14" fillId="2" borderId="10" xfId="0" quotePrefix="1" applyFont="1" applyFill="1" applyBorder="1" applyAlignment="1" applyProtection="1">
      <alignment horizontal="center" vertical="center"/>
      <protection locked="0"/>
    </xf>
    <xf numFmtId="0" fontId="14" fillId="2" borderId="11" xfId="0" applyFont="1" applyFill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4" borderId="2" xfId="0" applyFont="1" applyFill="1" applyBorder="1" applyAlignment="1" applyProtection="1">
      <alignment horizontal="center"/>
      <protection locked="0"/>
    </xf>
    <xf numFmtId="0" fontId="14" fillId="4" borderId="8" xfId="0" applyFont="1" applyFill="1" applyBorder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/>
      <protection locked="0"/>
    </xf>
    <xf numFmtId="0" fontId="14" fillId="3" borderId="11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18" fillId="0" borderId="0" xfId="0" applyFont="1" applyFill="1" applyBorder="1" applyAlignment="1" applyProtection="1">
      <alignment horizontal="center" wrapText="1"/>
    </xf>
    <xf numFmtId="0" fontId="0" fillId="0" borderId="25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17" fillId="0" borderId="24" xfId="0" applyFont="1" applyBorder="1" applyAlignment="1">
      <alignment horizontal="left" vertical="center" wrapText="1"/>
    </xf>
    <xf numFmtId="0" fontId="17" fillId="0" borderId="29" xfId="0" applyFont="1" applyBorder="1" applyAlignment="1">
      <alignment horizontal="left" vertical="center" wrapText="1"/>
    </xf>
    <xf numFmtId="0" fontId="2" fillId="0" borderId="31" xfId="2" applyFill="1" applyBorder="1" applyAlignment="1" applyProtection="1">
      <alignment horizontal="left" vertical="center"/>
      <protection locked="0"/>
    </xf>
    <xf numFmtId="0" fontId="2" fillId="0" borderId="28" xfId="2" applyFill="1" applyBorder="1" applyAlignment="1">
      <alignment horizontal="left" vertical="center"/>
    </xf>
    <xf numFmtId="0" fontId="2" fillId="0" borderId="31" xfId="2" applyFill="1" applyBorder="1" applyAlignment="1">
      <alignment horizontal="left" vertical="center"/>
    </xf>
    <xf numFmtId="0" fontId="20" fillId="0" borderId="27" xfId="0" applyFont="1" applyFill="1" applyBorder="1" applyAlignment="1" applyProtection="1">
      <alignment horizontal="left" vertical="center" wrapText="1"/>
    </xf>
    <xf numFmtId="0" fontId="20" fillId="0" borderId="29" xfId="0" applyFont="1" applyFill="1" applyBorder="1" applyAlignment="1" applyProtection="1">
      <alignment horizontal="left" vertical="center" wrapText="1"/>
    </xf>
    <xf numFmtId="0" fontId="21" fillId="0" borderId="2" xfId="0" applyFont="1" applyBorder="1" applyAlignment="1">
      <alignment horizontal="left" vertical="top" wrapText="1"/>
    </xf>
    <xf numFmtId="0" fontId="21" fillId="0" borderId="30" xfId="0" applyFont="1" applyBorder="1" applyAlignment="1">
      <alignment horizontal="left" vertical="top" wrapText="1"/>
    </xf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2" xfId="2" applyBorder="1" applyAlignment="1" applyProtection="1">
      <alignment horizontal="center"/>
    </xf>
    <xf numFmtId="0" fontId="24" fillId="0" borderId="0" xfId="0" applyFont="1" applyBorder="1" applyAlignment="1" applyProtection="1">
      <alignment vertical="center"/>
      <protection locked="0"/>
    </xf>
    <xf numFmtId="0" fontId="24" fillId="0" borderId="0" xfId="1" applyFont="1" applyBorder="1" applyAlignment="1" applyProtection="1">
      <alignment horizontal="center" vertical="top"/>
      <protection locked="0"/>
    </xf>
    <xf numFmtId="0" fontId="27" fillId="0" borderId="0" xfId="0" applyFont="1" applyAlignment="1" applyProtection="1">
      <alignment horizontal="center" vertical="center"/>
    </xf>
    <xf numFmtId="0" fontId="27" fillId="0" borderId="0" xfId="0" applyFont="1" applyProtection="1"/>
    <xf numFmtId="0" fontId="14" fillId="3" borderId="10" xfId="0" applyFont="1" applyFill="1" applyBorder="1" applyAlignment="1" applyProtection="1">
      <alignment horizontal="center"/>
      <protection locked="0"/>
    </xf>
    <xf numFmtId="0" fontId="14" fillId="3" borderId="1" xfId="0" applyFont="1" applyFill="1" applyBorder="1" applyAlignment="1" applyProtection="1">
      <alignment horizontal="center"/>
      <protection locked="0"/>
    </xf>
    <xf numFmtId="0" fontId="14" fillId="2" borderId="32" xfId="0" applyFont="1" applyFill="1" applyBorder="1" applyAlignment="1" applyProtection="1">
      <alignment horizontal="center"/>
      <protection locked="0"/>
    </xf>
    <xf numFmtId="0" fontId="14" fillId="2" borderId="33" xfId="0" applyFont="1" applyFill="1" applyBorder="1" applyAlignment="1" applyProtection="1">
      <alignment horizontal="center"/>
      <protection locked="0"/>
    </xf>
    <xf numFmtId="0" fontId="14" fillId="2" borderId="15" xfId="0" applyFont="1" applyFill="1" applyBorder="1" applyAlignment="1" applyProtection="1">
      <alignment horizontal="center"/>
      <protection locked="0"/>
    </xf>
    <xf numFmtId="0" fontId="14" fillId="2" borderId="34" xfId="0" applyFont="1" applyFill="1" applyBorder="1" applyAlignment="1" applyProtection="1">
      <alignment horizontal="center"/>
      <protection locked="0"/>
    </xf>
    <xf numFmtId="0" fontId="14" fillId="2" borderId="35" xfId="0" applyFont="1" applyFill="1" applyBorder="1" applyAlignment="1" applyProtection="1">
      <alignment horizontal="center"/>
      <protection locked="0"/>
    </xf>
    <xf numFmtId="0" fontId="14" fillId="3" borderId="36" xfId="0" applyFont="1" applyFill="1" applyBorder="1" applyAlignment="1" applyProtection="1">
      <alignment horizontal="center"/>
      <protection locked="0"/>
    </xf>
    <xf numFmtId="0" fontId="14" fillId="3" borderId="37" xfId="0" applyFont="1" applyFill="1" applyBorder="1" applyAlignment="1" applyProtection="1">
      <alignment horizontal="center"/>
      <protection locked="0"/>
    </xf>
    <xf numFmtId="0" fontId="14" fillId="3" borderId="20" xfId="0" applyFont="1" applyFill="1" applyBorder="1" applyAlignment="1" applyProtection="1">
      <alignment horizontal="center"/>
      <protection locked="0"/>
    </xf>
    <xf numFmtId="0" fontId="14" fillId="2" borderId="40" xfId="0" applyFont="1" applyFill="1" applyBorder="1" applyAlignment="1" applyProtection="1">
      <alignment horizontal="center"/>
      <protection locked="0"/>
    </xf>
    <xf numFmtId="0" fontId="14" fillId="2" borderId="12" xfId="0" applyFont="1" applyFill="1" applyBorder="1" applyAlignment="1" applyProtection="1">
      <alignment horizontal="center"/>
      <protection locked="0"/>
    </xf>
    <xf numFmtId="0" fontId="14" fillId="3" borderId="12" xfId="0" applyFont="1" applyFill="1" applyBorder="1" applyAlignment="1" applyProtection="1">
      <alignment horizontal="center"/>
      <protection locked="0"/>
    </xf>
    <xf numFmtId="0" fontId="14" fillId="3" borderId="0" xfId="0" applyFont="1" applyFill="1" applyBorder="1" applyAlignment="1" applyProtection="1">
      <alignment horizontal="center"/>
      <protection locked="0"/>
    </xf>
    <xf numFmtId="0" fontId="14" fillId="2" borderId="42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" fillId="0" borderId="26" xfId="2" applyFill="1" applyBorder="1" applyAlignment="1" applyProtection="1">
      <alignment horizontal="left" vertical="center" wrapText="1"/>
      <protection locked="0"/>
    </xf>
    <xf numFmtId="0" fontId="0" fillId="0" borderId="0" xfId="0" applyBorder="1" applyAlignment="1">
      <alignment horizontal="left" vertical="top" wrapText="1"/>
    </xf>
    <xf numFmtId="0" fontId="2" fillId="0" borderId="0" xfId="2" applyFill="1" applyBorder="1" applyAlignment="1" applyProtection="1">
      <alignment horizontal="left" vertical="center" wrapText="1"/>
      <protection locked="0"/>
    </xf>
    <xf numFmtId="0" fontId="2" fillId="0" borderId="0" xfId="2" applyFill="1" applyBorder="1" applyAlignment="1" applyProtection="1">
      <alignment horizontal="left" vertical="center"/>
      <protection locked="0"/>
    </xf>
    <xf numFmtId="0" fontId="17" fillId="0" borderId="0" xfId="0" applyFont="1"/>
    <xf numFmtId="0" fontId="17" fillId="0" borderId="14" xfId="0" applyFont="1" applyBorder="1" applyAlignment="1">
      <alignment horizontal="left" vertical="center" wrapText="1"/>
    </xf>
    <xf numFmtId="0" fontId="17" fillId="0" borderId="0" xfId="0" applyFont="1" applyBorder="1" applyAlignment="1">
      <alignment horizontal="left" vertical="center" wrapText="1"/>
    </xf>
    <xf numFmtId="0" fontId="20" fillId="0" borderId="34" xfId="0" applyFont="1" applyFill="1" applyBorder="1" applyAlignment="1" applyProtection="1">
      <alignment horizontal="left" vertical="center" wrapText="1"/>
    </xf>
    <xf numFmtId="0" fontId="19" fillId="0" borderId="44" xfId="0" applyFont="1" applyBorder="1" applyAlignment="1">
      <alignment horizontal="left" vertical="top" wrapText="1"/>
    </xf>
    <xf numFmtId="0" fontId="19" fillId="0" borderId="45" xfId="0" applyFont="1" applyBorder="1" applyAlignment="1">
      <alignment horizontal="left" vertical="top" wrapText="1"/>
    </xf>
    <xf numFmtId="0" fontId="19" fillId="0" borderId="46" xfId="0" applyFont="1" applyBorder="1" applyAlignment="1">
      <alignment vertical="top"/>
    </xf>
    <xf numFmtId="0" fontId="29" fillId="0" borderId="4" xfId="0" applyFont="1" applyBorder="1" applyAlignment="1">
      <alignment horizontal="center" vertical="center"/>
    </xf>
    <xf numFmtId="0" fontId="21" fillId="0" borderId="11" xfId="0" applyFont="1" applyBorder="1" applyAlignment="1">
      <alignment horizontal="left" vertical="top" wrapText="1"/>
    </xf>
    <xf numFmtId="0" fontId="2" fillId="0" borderId="43" xfId="2" applyBorder="1" applyAlignment="1">
      <alignment horizontal="left" vertical="center" wrapText="1"/>
    </xf>
    <xf numFmtId="0" fontId="29" fillId="0" borderId="4" xfId="0" applyFont="1" applyBorder="1" applyAlignment="1">
      <alignment horizontal="center" vertical="center"/>
    </xf>
    <xf numFmtId="0" fontId="17" fillId="0" borderId="0" xfId="0" applyFont="1" applyBorder="1"/>
    <xf numFmtId="0" fontId="29" fillId="0" borderId="47" xfId="0" applyFont="1" applyBorder="1" applyAlignment="1">
      <alignment horizontal="center" vertical="center"/>
    </xf>
    <xf numFmtId="0" fontId="2" fillId="0" borderId="0" xfId="2" applyBorder="1" applyAlignment="1" applyProtection="1">
      <alignment horizontal="left" vertical="center"/>
      <protection locked="0"/>
    </xf>
    <xf numFmtId="0" fontId="11" fillId="0" borderId="10" xfId="0" applyFont="1" applyFill="1" applyBorder="1" applyAlignment="1" applyProtection="1">
      <alignment horizontal="center"/>
    </xf>
    <xf numFmtId="0" fontId="2" fillId="0" borderId="0" xfId="2"/>
    <xf numFmtId="0" fontId="29" fillId="0" borderId="0" xfId="0" applyFont="1" applyBorder="1" applyAlignment="1">
      <alignment horizontal="center" vertical="center"/>
    </xf>
    <xf numFmtId="0" fontId="17" fillId="0" borderId="44" xfId="0" applyFont="1" applyBorder="1" applyAlignment="1">
      <alignment horizontal="left" vertical="center" wrapText="1"/>
    </xf>
    <xf numFmtId="0" fontId="0" fillId="0" borderId="45" xfId="0" applyBorder="1" applyAlignment="1">
      <alignment horizontal="left" vertical="top" wrapText="1"/>
    </xf>
    <xf numFmtId="0" fontId="2" fillId="0" borderId="46" xfId="2" applyFill="1" applyBorder="1" applyAlignment="1" applyProtection="1">
      <alignment horizontal="left" vertical="center" wrapText="1"/>
      <protection locked="0"/>
    </xf>
    <xf numFmtId="0" fontId="19" fillId="0" borderId="32" xfId="0" applyFont="1" applyBorder="1" applyAlignment="1">
      <alignment horizontal="left" vertical="top" wrapText="1"/>
    </xf>
    <xf numFmtId="0" fontId="19" fillId="0" borderId="33" xfId="0" applyFont="1" applyBorder="1" applyAlignment="1">
      <alignment horizontal="left" vertical="top" wrapText="1"/>
    </xf>
    <xf numFmtId="0" fontId="19" fillId="0" borderId="48" xfId="0" applyFont="1" applyBorder="1" applyAlignment="1">
      <alignment vertical="top"/>
    </xf>
    <xf numFmtId="0" fontId="29" fillId="0" borderId="21" xfId="0" applyFont="1" applyBorder="1" applyAlignment="1">
      <alignment horizontal="center" vertical="center"/>
    </xf>
    <xf numFmtId="0" fontId="1" fillId="0" borderId="0" xfId="1" applyBorder="1" applyAlignment="1" applyProtection="1">
      <alignment horizontal="left" vertical="top"/>
      <protection locked="0"/>
    </xf>
    <xf numFmtId="0" fontId="9" fillId="0" borderId="0" xfId="0" applyFont="1" applyBorder="1" applyAlignment="1" applyProtection="1">
      <alignment horizontal="center"/>
      <protection locked="0"/>
    </xf>
    <xf numFmtId="0" fontId="15" fillId="0" borderId="8" xfId="1" applyFont="1" applyFill="1" applyBorder="1" applyAlignment="1" applyProtection="1">
      <alignment horizontal="center"/>
      <protection locked="0"/>
    </xf>
    <xf numFmtId="0" fontId="15" fillId="0" borderId="7" xfId="1" applyFont="1" applyFill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1" applyFont="1" applyFill="1" applyBorder="1" applyAlignment="1" applyProtection="1">
      <alignment horizontal="center"/>
      <protection locked="0"/>
    </xf>
    <xf numFmtId="0" fontId="9" fillId="0" borderId="7" xfId="1" applyFont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15" fillId="0" borderId="10" xfId="1" applyFont="1" applyBorder="1" applyAlignment="1" applyProtection="1">
      <alignment horizontal="center" vertical="top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0" fontId="1" fillId="6" borderId="0" xfId="0" applyFont="1" applyFill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1" fillId="4" borderId="0" xfId="1" applyFill="1" applyBorder="1" applyAlignment="1" applyProtection="1">
      <alignment horizontal="center" vertical="center"/>
      <protection locked="0"/>
    </xf>
    <xf numFmtId="0" fontId="1" fillId="6" borderId="0" xfId="1" applyFill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15" fillId="0" borderId="10" xfId="1" applyFont="1" applyBorder="1" applyAlignment="1" applyProtection="1">
      <alignment horizontal="center" vertical="center"/>
      <protection locked="0"/>
    </xf>
    <xf numFmtId="0" fontId="16" fillId="0" borderId="4" xfId="0" applyFont="1" applyBorder="1" applyAlignment="1" applyProtection="1">
      <alignment horizontal="center" vertical="center"/>
      <protection locked="0"/>
    </xf>
    <xf numFmtId="0" fontId="28" fillId="0" borderId="10" xfId="1" applyFont="1" applyBorder="1" applyAlignment="1" applyProtection="1">
      <alignment horizontal="center" vertical="center"/>
      <protection locked="0"/>
    </xf>
    <xf numFmtId="0" fontId="28" fillId="0" borderId="10" xfId="1" applyFont="1" applyBorder="1" applyAlignment="1" applyProtection="1">
      <alignment horizontal="center" vertical="top"/>
      <protection locked="0"/>
    </xf>
    <xf numFmtId="0" fontId="16" fillId="0" borderId="4" xfId="0" applyFont="1" applyBorder="1" applyProtection="1">
      <protection locked="0"/>
    </xf>
    <xf numFmtId="0" fontId="16" fillId="0" borderId="0" xfId="0" applyFont="1" applyBorder="1" applyProtection="1"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center"/>
      <protection locked="0"/>
    </xf>
    <xf numFmtId="0" fontId="27" fillId="0" borderId="0" xfId="0" applyFont="1" applyBorder="1" applyProtection="1"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 applyProtection="1">
      <alignment horizontal="center" vertical="center"/>
      <protection locked="0"/>
    </xf>
    <xf numFmtId="0" fontId="15" fillId="0" borderId="17" xfId="1" applyFont="1" applyBorder="1" applyAlignment="1" applyProtection="1">
      <alignment horizontal="center" vertical="top"/>
      <protection locked="0"/>
    </xf>
    <xf numFmtId="0" fontId="31" fillId="0" borderId="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25" fillId="0" borderId="14" xfId="1" applyFont="1" applyBorder="1" applyAlignment="1" applyProtection="1">
      <alignment horizontal="center" vertical="center"/>
      <protection locked="0"/>
    </xf>
    <xf numFmtId="0" fontId="1" fillId="0" borderId="16" xfId="1" applyBorder="1" applyAlignment="1" applyProtection="1">
      <alignment horizontal="center" vertical="top"/>
      <protection locked="0"/>
    </xf>
    <xf numFmtId="0" fontId="1" fillId="0" borderId="16" xfId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top"/>
      <protection locked="0"/>
    </xf>
    <xf numFmtId="0" fontId="32" fillId="0" borderId="13" xfId="0" applyFont="1" applyFill="1" applyBorder="1" applyAlignment="1" applyProtection="1">
      <alignment horizontal="center" vertical="center"/>
      <protection locked="0"/>
    </xf>
    <xf numFmtId="0" fontId="32" fillId="0" borderId="14" xfId="0" applyFont="1" applyFill="1" applyBorder="1" applyAlignment="1" applyProtection="1">
      <alignment horizontal="center" vertical="center"/>
      <protection locked="0"/>
    </xf>
    <xf numFmtId="0" fontId="32" fillId="0" borderId="15" xfId="0" applyFont="1" applyFill="1" applyBorder="1" applyAlignment="1" applyProtection="1">
      <alignment horizontal="center" vertical="center"/>
      <protection locked="0"/>
    </xf>
    <xf numFmtId="0" fontId="32" fillId="0" borderId="16" xfId="0" applyFont="1" applyFill="1" applyBorder="1" applyAlignment="1" applyProtection="1">
      <alignment horizontal="center" vertical="center"/>
      <protection locked="0"/>
    </xf>
    <xf numFmtId="0" fontId="32" fillId="0" borderId="0" xfId="0" applyFont="1" applyFill="1" applyBorder="1" applyAlignment="1" applyProtection="1">
      <alignment horizontal="center" vertical="center"/>
      <protection locked="0"/>
    </xf>
    <xf numFmtId="0" fontId="32" fillId="0" borderId="17" xfId="0" applyFont="1" applyFill="1" applyBorder="1" applyAlignment="1" applyProtection="1">
      <alignment horizontal="center" vertical="center"/>
      <protection locked="0"/>
    </xf>
    <xf numFmtId="0" fontId="32" fillId="0" borderId="18" xfId="0" applyFont="1" applyFill="1" applyBorder="1" applyAlignment="1" applyProtection="1">
      <alignment horizontal="center" vertical="center"/>
      <protection locked="0"/>
    </xf>
    <xf numFmtId="0" fontId="32" fillId="0" borderId="19" xfId="0" applyFont="1" applyFill="1" applyBorder="1" applyAlignment="1" applyProtection="1">
      <alignment horizontal="center" vertical="center"/>
      <protection locked="0"/>
    </xf>
    <xf numFmtId="0" fontId="32" fillId="0" borderId="20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1" fillId="0" borderId="0" xfId="1" applyFill="1" applyBorder="1" applyAlignment="1" applyProtection="1">
      <alignment horizontal="center" vertical="top"/>
      <protection locked="0"/>
    </xf>
    <xf numFmtId="0" fontId="8" fillId="0" borderId="0" xfId="0" applyFont="1" applyFill="1" applyBorder="1" applyProtection="1"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0" fillId="7" borderId="38" xfId="0" applyFont="1" applyFill="1" applyBorder="1" applyProtection="1">
      <protection locked="0"/>
    </xf>
    <xf numFmtId="0" fontId="5" fillId="7" borderId="41" xfId="0" applyFont="1" applyFill="1" applyBorder="1" applyAlignment="1" applyProtection="1">
      <alignment horizontal="center"/>
      <protection locked="0"/>
    </xf>
    <xf numFmtId="0" fontId="0" fillId="7" borderId="41" xfId="0" applyFill="1" applyBorder="1" applyAlignment="1" applyProtection="1">
      <alignment horizontal="center"/>
      <protection locked="0"/>
    </xf>
    <xf numFmtId="0" fontId="0" fillId="7" borderId="41" xfId="0" applyFill="1" applyBorder="1" applyProtection="1">
      <protection locked="0"/>
    </xf>
    <xf numFmtId="0" fontId="1" fillId="0" borderId="4" xfId="1" applyBorder="1" applyAlignment="1" applyProtection="1">
      <alignment horizontal="center" vertical="top"/>
      <protection locked="0"/>
    </xf>
    <xf numFmtId="0" fontId="1" fillId="0" borderId="4" xfId="1" applyFill="1" applyBorder="1" applyAlignment="1" applyProtection="1">
      <alignment horizontal="center" vertical="top"/>
      <protection locked="0"/>
    </xf>
    <xf numFmtId="0" fontId="9" fillId="0" borderId="14" xfId="0" applyFont="1" applyBorder="1" applyAlignment="1" applyProtection="1">
      <alignment horizontal="center" vertical="center"/>
      <protection locked="0"/>
    </xf>
    <xf numFmtId="0" fontId="1" fillId="5" borderId="0" xfId="0" applyFont="1" applyFill="1" applyBorder="1" applyAlignment="1" applyProtection="1">
      <alignment horizontal="center" vertical="center"/>
      <protection locked="0"/>
    </xf>
    <xf numFmtId="0" fontId="1" fillId="5" borderId="0" xfId="1" applyFill="1" applyBorder="1" applyAlignment="1" applyProtection="1">
      <alignment horizontal="center" vertical="center"/>
      <protection locked="0"/>
    </xf>
    <xf numFmtId="0" fontId="31" fillId="0" borderId="7" xfId="0" applyFont="1" applyBorder="1" applyAlignment="1" applyProtection="1">
      <alignment horizontal="center" vertical="center"/>
      <protection locked="0"/>
    </xf>
    <xf numFmtId="0" fontId="11" fillId="0" borderId="8" xfId="0" applyFont="1" applyBorder="1" applyAlignment="1" applyProtection="1">
      <alignment horizontal="center"/>
    </xf>
    <xf numFmtId="0" fontId="2" fillId="0" borderId="8" xfId="2" applyBorder="1" applyAlignment="1" applyProtection="1">
      <alignment horizontal="center"/>
    </xf>
    <xf numFmtId="0" fontId="26" fillId="0" borderId="6" xfId="0" applyFont="1" applyBorder="1" applyAlignment="1" applyProtection="1">
      <alignment horizontal="center" vertical="center"/>
    </xf>
    <xf numFmtId="0" fontId="9" fillId="0" borderId="11" xfId="1" applyFont="1" applyBorder="1" applyAlignment="1" applyProtection="1">
      <alignment horizontal="center" vertical="center"/>
    </xf>
    <xf numFmtId="0" fontId="23" fillId="0" borderId="11" xfId="1" applyFont="1" applyBorder="1" applyAlignment="1" applyProtection="1">
      <alignment horizontal="center" vertical="center"/>
    </xf>
    <xf numFmtId="0" fontId="26" fillId="0" borderId="5" xfId="0" applyFont="1" applyFill="1" applyBorder="1" applyAlignment="1" applyProtection="1">
      <alignment horizontal="center" vertical="center"/>
    </xf>
    <xf numFmtId="0" fontId="27" fillId="0" borderId="3" xfId="0" applyFont="1" applyBorder="1" applyAlignment="1" applyProtection="1">
      <alignment horizontal="center" vertical="center"/>
    </xf>
    <xf numFmtId="0" fontId="1" fillId="0" borderId="9" xfId="1" applyBorder="1" applyAlignment="1" applyProtection="1">
      <alignment horizontal="center" vertical="center"/>
      <protection locked="0"/>
    </xf>
    <xf numFmtId="164" fontId="24" fillId="0" borderId="9" xfId="1" applyNumberFormat="1" applyFont="1" applyBorder="1" applyAlignment="1" applyProtection="1">
      <alignment horizontal="center" vertical="center" wrapText="1"/>
    </xf>
    <xf numFmtId="164" fontId="27" fillId="0" borderId="49" xfId="0" applyNumberFormat="1" applyFont="1" applyBorder="1" applyAlignment="1" applyProtection="1">
      <alignment horizontal="center" vertical="center"/>
    </xf>
    <xf numFmtId="0" fontId="26" fillId="0" borderId="6" xfId="0" applyFont="1" applyBorder="1" applyAlignment="1" applyProtection="1">
      <alignment horizontal="center"/>
    </xf>
    <xf numFmtId="0" fontId="26" fillId="0" borderId="11" xfId="0" applyFont="1" applyBorder="1" applyAlignment="1" applyProtection="1">
      <alignment horizontal="center"/>
    </xf>
    <xf numFmtId="0" fontId="26" fillId="0" borderId="5" xfId="0" applyFont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  <protection locked="0"/>
    </xf>
    <xf numFmtId="0" fontId="1" fillId="0" borderId="0" xfId="1" applyFill="1" applyAlignment="1" applyProtection="1">
      <alignment horizontal="center" vertical="top"/>
      <protection locked="0"/>
    </xf>
    <xf numFmtId="0" fontId="31" fillId="0" borderId="10" xfId="1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 applyProtection="1">
      <alignment horizontal="center" vertical="top" wrapText="1"/>
      <protection locked="0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12" fillId="0" borderId="23" xfId="0" applyFont="1" applyBorder="1" applyAlignment="1" applyProtection="1">
      <alignment horizontal="center" vertical="top" wrapText="1"/>
      <protection locked="0"/>
    </xf>
    <xf numFmtId="0" fontId="0" fillId="0" borderId="38" xfId="0" applyBorder="1" applyAlignment="1" applyProtection="1">
      <alignment horizontal="center" vertical="center" wrapText="1"/>
      <protection locked="0"/>
    </xf>
    <xf numFmtId="0" fontId="0" fillId="0" borderId="41" xfId="0" applyBorder="1" applyAlignment="1" applyProtection="1">
      <alignment horizontal="center" vertical="center" wrapText="1"/>
      <protection locked="0"/>
    </xf>
    <xf numFmtId="0" fontId="0" fillId="0" borderId="39" xfId="0" applyBorder="1" applyAlignment="1" applyProtection="1">
      <alignment horizontal="center" vertical="center" wrapText="1"/>
      <protection locked="0"/>
    </xf>
    <xf numFmtId="0" fontId="29" fillId="0" borderId="38" xfId="0" applyFont="1" applyBorder="1" applyAlignment="1">
      <alignment horizontal="center" vertical="center"/>
    </xf>
    <xf numFmtId="0" fontId="29" fillId="0" borderId="39" xfId="0" applyFont="1" applyBorder="1" applyAlignment="1">
      <alignment horizontal="center" vertical="center"/>
    </xf>
    <xf numFmtId="0" fontId="29" fillId="0" borderId="41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61"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  <border>
        <left/>
        <right/>
        <top/>
        <bottom/>
      </border>
    </dxf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  <border>
        <left/>
        <right/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color rgb="FF9C0000"/>
      </font>
      <fill>
        <patternFill patternType="solid">
          <fgColor auto="1"/>
          <bgColor rgb="FFFFC7CE"/>
        </patternFill>
      </fill>
    </dxf>
    <dxf>
      <font>
        <color rgb="FFBDEEFF"/>
      </font>
      <fill>
        <patternFill>
          <bgColor rgb="FF0070C0"/>
        </patternFill>
      </fill>
    </dxf>
    <dxf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</dxf>
    <dxf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Arial"/>
        <family val="2"/>
        <scheme val="none"/>
      </font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Arial"/>
        <family val="2"/>
        <scheme val="none"/>
      </font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rial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rial"/>
        <family val="2"/>
        <scheme val="none"/>
      </font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rial"/>
        <family val="2"/>
        <scheme val="none"/>
      </font>
      <alignment horizontal="center" vertical="top" textRotation="0" wrapText="0" indent="0" justifyLastLine="0" shrinkToFit="0" readingOrder="0"/>
      <protection locked="0" hidden="0"/>
    </dxf>
    <dxf>
      <fill>
        <patternFill patternType="solid">
          <fgColor indexed="64"/>
          <bgColor rgb="FFECF1F8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left style="medium">
          <color indexed="64"/>
        </left>
        <right style="thin">
          <color indexed="64"/>
        </right>
      </border>
    </dxf>
    <dxf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11C1FF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</dxf>
    <dxf>
      <font>
        <b/>
        <i val="0"/>
        <color rgb="FF11C1FF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numFmt numFmtId="164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Arial"/>
        <family val="2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Medium9"/>
  <colors>
    <mruColors>
      <color rgb="FFBDEEFF"/>
      <color rgb="FF61D6FF"/>
      <color rgb="FF11C1FF"/>
      <color rgb="FFFFFF99"/>
      <color rgb="FFFFC7CE"/>
      <color rgb="FFFF0066"/>
      <color rgb="FFABE9FF"/>
      <color rgb="FF9C0000"/>
      <color rgb="FF9C0006"/>
      <color rgb="FFFEB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 sz="1800" b="1" i="0" u="none" strike="noStrike" baseline="0">
                <a:effectLst/>
              </a:rPr>
              <a:t>Grid for an manual location entry  (Optional)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251572327044023E-2"/>
          <c:y val="5.6903988348981763E-2"/>
          <c:w val="0.90241280731846774"/>
          <c:h val="0.89848468587552532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5E8DD3-47D0-428F-A7A7-39B88BF9EEB7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46AC-45AC-997E-865ED8066A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1724CA-E855-4F1D-AF5A-FBD3B1E07DE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AC-45AC-997E-865ED8066A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5A3EBC-0B07-4B3C-A073-6A0C3AFD89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AC-45AC-997E-865ED8066A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A190F9-4FED-4FC8-806F-B9C0C97382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AC-45AC-997E-865ED8066A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45EB72-1B81-4DFD-A5C4-BDDD4E22A7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AC-45AC-997E-865ED8066A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238464-409B-4361-8A55-8E73228434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AC-45AC-997E-865ED8066A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975BB1-39C5-4D69-B84C-6DE7C721CC1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AC-45AC-997E-865ED8066A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33C4BB-1051-40E5-8A50-36E8C5B02C0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AC-45AC-997E-865ED8066A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6FE68D-51BB-4651-99A5-1F2A9C676F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AC-45AC-997E-865ED8066A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7C85EA-39CD-4338-A0DD-E96752518D9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AC-45AC-997E-865ED8066A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B8DBDD-C5DD-4898-B979-20795587FCE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AC-45AC-997E-865ED8066A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02024E-CBE2-424D-A15D-A61A1916FCC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AC-45AC-997E-865ED8066A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C02492-546F-44E0-ADF3-F230C8827E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AC-45AC-997E-865ED8066A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B5BC26-1A89-4A76-86E1-95A4582035B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AC-45AC-997E-865ED8066A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F8153B0-47C8-40C7-89C7-D83BF5D1359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AC-45AC-997E-865ED8066A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FD908F-1252-4598-B5C1-6AD3CEB474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AC-45AC-997E-865ED8066A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ACBB15-2954-4F76-B6C9-6DA48DABA9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AC-45AC-997E-865ED8066A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C0884F-68A7-430C-A46E-75094EEC89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AC-45AC-997E-865ED8066A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A0EB83-3783-46A0-883F-2659C107C25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AC-45AC-997E-865ED8066A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8D424A-ED4E-41F3-A244-A40EC33810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AC-45AC-997E-865ED8066A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0EA8746-CDE1-43BE-AAFB-773DF57D9F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AC-45AC-997E-865ED8066A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DEBC2D-7CDC-417F-B157-F75057FFDD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AC-45AC-997E-865ED8066A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1EC444-568A-4A11-8AAC-118D1F5FE4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AC-45AC-997E-865ED8066A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2B5DB6-7EF5-4971-BDC4-20545BF982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AC-45AC-997E-865ED8066A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25082A-41EE-4F53-8FC4-7B46F24038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AC-45AC-997E-865ED8066A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51BD81-A31E-4287-AF99-C74FD7D27A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AC-45AC-997E-865ED8066A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C4E9BA-A587-4ADA-800C-34982E7B5A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AC-45AC-997E-865ED8066A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9824C9-3B49-418A-851C-3E24AADCF9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AC-45AC-997E-865ED8066A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4AB09A-F8C4-4C10-A586-DC24A8497F5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AC-45AC-997E-865ED8066A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FB52AB-AF3D-4059-981D-BF8E34B5ABA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AC-45AC-997E-865ED8066A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301F9CE-FF96-4FD4-B6E3-E953D5BB87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AC-45AC-997E-865ED8066A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732EB8-98DF-4413-A4C9-2A704ED37C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AC-45AC-997E-865ED8066A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247F2C-BC6C-404C-B329-A790071148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AC-45AC-997E-865ED8066A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847022-D6B2-4C6E-8E62-43E098BAF5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AC-45AC-997E-865ED8066A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FBFCB6-C1F9-4CB9-9AB1-8837310BAE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AC-45AC-997E-865ED8066A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C885217-0796-4C6E-A7E9-743642714C6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AC-45AC-997E-865ED8066A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91109A-B365-45C2-93A1-6BB28ACBFF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AC-45AC-997E-865ED8066A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213AE6-6117-49B3-8481-F682D50E934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AC-45AC-997E-865ED8066A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490783-AAB3-4451-AD0A-825871B9BF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AC-45AC-997E-865ED8066A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760278-4037-423D-A649-EE756AD549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AC-45AC-997E-865ED8066A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1B2E86-55A5-43CB-A1E8-8DA879A738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AC-45AC-997E-865ED8066A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C5BE56-458E-4AEE-992A-975EF66024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AC-45AC-997E-865ED8066A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92124F-BB62-44CE-9A98-ACAB176932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AC-45AC-997E-865ED8066A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A78E9B0-6FE5-4BEE-994B-DD7028F524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AC-45AC-997E-865ED8066A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F4CB673-934E-49F5-B1FD-E7D91D61782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AC-45AC-997E-865ED8066A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CE839C4-D6B0-470A-A9E7-9E8A743A740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AC-45AC-997E-865ED8066A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E44A89-A0C5-4163-9689-9AA68768666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AC-45AC-997E-865ED8066A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12103C-F3EB-4452-97A4-967FFE2BCAB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AC-45AC-997E-865ED8066A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061C60-AE9A-4DC1-A93D-C8EA7120511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AC-45AC-997E-865ED8066A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F98BAE-63D9-4A02-97E4-6CB6689467C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AC-45AC-997E-865ED8066A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AE8F111-721B-48F8-9772-6CD85644EF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AC-45AC-997E-865ED8066A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6F87AB-DC5B-46C0-B3B3-392AE41B21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AC-45AC-997E-865ED8066A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36A1AF-9CD8-4A84-81DA-E78449F19E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AC-45AC-997E-865ED8066A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EE8F12-0654-469A-9765-07C4A21447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AC-45AC-997E-865ED8066A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9DDFF2F-A497-4B19-AC1A-645E4D6C21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AC-45AC-997E-865ED8066A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A28B85-6419-4A44-BB53-D0AE3660ADB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AC-45AC-997E-865ED8066A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572E59-05A0-46D3-8783-E5CCA326791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AC-45AC-997E-865ED8066A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D3F8C8C-D10A-4F93-95C2-408601E17F3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AC-45AC-997E-865ED8066A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2063444-B16C-4689-9B1C-A0B469EE03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AC-45AC-997E-865ED8066A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CBBF81-90E4-4905-95EC-0381B7D739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AC-45AC-997E-865ED8066A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849DCA-8B0E-47A4-9CDF-C970F2DC59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AC-45AC-997E-865ED8066A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AA34D3-99A3-466B-8B09-C5071E23CC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AC-45AC-997E-865ED8066A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4D5E14-C13C-49F8-8FC9-A8A22651615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AC-45AC-997E-865ED8066A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D943FEC-09AA-4B08-9123-9F5443E1E30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AC-45AC-997E-865ED8066A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3263A1-6ED0-47A8-AC60-A5C09421E6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AC-45AC-997E-865ED8066A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B0F183F-C17F-4C18-8537-639D66013C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AC-45AC-997E-865ED8066A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BE6156A-C98C-4DF1-B745-DB104249CC3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AC-45AC-997E-865ED8066A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61A1D5-7167-4DB6-85F5-C5A914F139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AC-45AC-997E-865ED8066A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318811B-8E44-430C-ABC2-11FEF933203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AC-45AC-997E-865ED8066A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C1A3884-332A-4F94-8550-3E09F02811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AC-45AC-997E-865ED8066A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2E1F53-2893-4C08-BDF3-47C5D722EDA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AC-45AC-997E-865ED8066A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3BEB9C-BF86-42D2-A1FD-BBECF3AC59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AC-45AC-997E-865ED8066A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A100D9-8B30-4DEA-AA2D-1A009657D3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AC-45AC-997E-865ED8066A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F0D6BA-9BE6-414D-BE47-1A8B041882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AC-45AC-997E-865ED8066A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A4BD4D-6537-46BE-8635-F41A9A47CB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AC-45AC-997E-865ED8066A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83D4CE-BAB4-4F61-A2E5-20762D2267E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AC-45AC-997E-865ED8066A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BE2D7E-457E-4543-A9EA-014C935C270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AC-45AC-997E-865ED8066A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6F97FC2-EBDA-4B16-B82E-3283F3A4447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AC-45AC-997E-865ED8066A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DE3573-EFD7-4544-A7FC-662359EA9F6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AC-45AC-997E-865ED8066A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5B9DC3-0357-4E76-BF94-712B576A0E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AC-45AC-997E-865ED8066A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F231B9-97BA-4C0B-B11D-BF5A4AD3FD9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AC-45AC-997E-865ED8066A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47228D0-51E0-47EF-8C13-E16F8F0187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AC-45AC-997E-865ED8066A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9B68FF6-9510-4848-8A1F-DDB3ED175A9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AC-45AC-997E-865ED8066A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97C539-B0D0-4393-956D-6CB68C14D9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AC-45AC-997E-865ED8066A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0329171-E719-4429-871B-A9EF75DCAF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AC-45AC-997E-865ED8066A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3368EA6-2D69-4B1B-8512-01E9EC29EF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AC-45AC-997E-865ED8066A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D4C482E-0E98-4273-9666-D81FEA8017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AC-45AC-997E-865ED8066A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C1CD99-EF7E-479B-8691-255B8C2330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AC-45AC-997E-865ED8066A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58A0063-28C6-46A6-8095-B984D6223CA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AC-45AC-997E-865ED8066A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116283-656E-4B7F-ABFF-152F0B2B2B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AC-45AC-997E-865ED8066A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DDEB4D-EA43-4415-8866-794796EB2A6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AC-45AC-997E-865ED8066A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45C3395-8949-4061-BA49-4B53ABE7878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AC-45AC-997E-865ED8066A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B9AD462-02F1-4E7E-8F45-7A6A31458D8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AC-45AC-997E-865ED8066A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C17F26C-B17B-418C-AF4C-1DB5008B26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AC-45AC-997E-865ED8066A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F6C5C58-FB5E-4B59-BE0C-642368E0E2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AC-45AC-997E-865ED8066A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C9CC54-5202-4AA8-BE44-80107185049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AC-45AC-997E-865ED8066A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411F00E-B131-40D0-AE35-C3E6C531841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AC-45AC-997E-865ED8066A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36C29F5-0475-49EE-A941-6B507EF531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AC-45AC-997E-865ED8066A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263EAD-CA96-4EC0-842E-5A75AA3CA70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AC-45AC-997E-865ED8066A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B428B40-75A6-4E3E-AB66-04A2AA480A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AC-45AC-997E-865ED8066A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7914CE-2500-41DA-8A53-5C578536BE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AC-45AC-997E-865ED8066A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DCB3D34-6769-4124-BE20-273A7FE0B2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AC-45AC-997E-865ED8066A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7A58AD9-F635-476A-B70B-8DF5ECB99A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AC-45AC-997E-865ED8066A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B5E2EB5-0EA0-4E46-8B5D-2AF8E57E95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AC-45AC-997E-865ED8066A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06AE7E-E557-42E6-B352-A78D4826CD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AC-45AC-997E-865ED8066A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7A61ED-A9FF-4F2B-A5DC-8E384484A7E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AC-45AC-997E-865ED8066A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71FEF81-2BAB-4C29-867A-F886DD28E3F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AC-45AC-997E-865ED8066A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646165-8B80-419B-A460-D2CEF179C5A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AC-45AC-997E-865ED8066A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FB0644F-8835-406D-840D-B1470BB5686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AC-45AC-997E-865ED8066A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4506051-3431-489F-B91B-90D0AD42EB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AC-45AC-997E-865ED8066A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1FA7204-3631-4FFF-8FBF-7D459E8EB5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AC-45AC-997E-865ED8066A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29B1FA-25A9-4F63-9294-4D6A03BB1A6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AC-45AC-997E-865ED8066A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162F96-53D9-4C0C-A5CB-7B6C19CA573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AC-45AC-997E-865ED8066A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DD75D5-5DCB-49BA-9D94-40B4560D290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AC-45AC-997E-865ED8066A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D3E86E0-DD48-4903-86B4-58EE635614F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AC-45AC-997E-865ED8066A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D78374-5711-44A0-8C4B-2F99C4FD55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AC-45AC-997E-865ED8066A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B255094-62FB-4738-88AA-0E53ADDD88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AC-45AC-997E-865ED8066A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26819F3-3384-43E7-9934-17ABF8E96C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AC-45AC-997E-865ED8066A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67866AB-2985-46F3-9097-074C5403385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AC-45AC-997E-865ED8066A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22D0F4-418A-497B-9A86-7667156561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AC-45AC-997E-865ED8066A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44C6DA-C3AF-49D3-B855-2ABC505802C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AC-45AC-997E-865ED8066A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416FA9B-927B-4B1D-B60B-92B50D531F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AC-45AC-997E-865ED8066A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8102F4D-D8F3-4812-8C68-5D6D6FEEB75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AC-45AC-997E-865ED8066A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AAF6224-581E-4260-AFD4-C580CAD7D1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AC-45AC-997E-865ED8066A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034952-3700-47D8-A0F3-01A22A30220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AC-45AC-997E-865ED8066A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3A48F5-7AE5-409B-85E4-2A5E03408F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AC-45AC-997E-865ED8066A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E4A9FD-D25C-4732-90BF-02013872562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AC-45AC-997E-865ED8066A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C032FBC-2DAB-44FB-82DF-8E635127E7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AC-45AC-997E-865ED8066A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3436C23-47D2-4B08-9FE4-4463E4935CF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AC-45AC-997E-865ED8066A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BAB914-BCD9-4D4F-925D-A9E7C17362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AC-45AC-997E-865ED8066A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DFEFFFB-18AA-40B2-8F7A-90EDE5D9CA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AC-45AC-997E-865ED8066A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759637-FD71-4C40-A9FB-58C57CF4BB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AC-45AC-997E-865ED8066A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6B5DDE2-3371-4D90-BC4F-52719CCC11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AC-45AC-997E-865ED8066A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3EB3D09-6E8C-412D-A426-313A17297D2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AC-45AC-997E-865ED8066A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7AC9EB-A827-4261-8099-D1748A9E76E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AC-45AC-997E-865ED8066A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6961D44-018E-4AC0-92B2-7E7683A088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AC-45AC-997E-865ED8066A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DB573E3-6BDA-4A79-AFE6-E6F40C046B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AC-45AC-997E-865ED8066A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587E4D-238D-4C34-838B-70B89927A99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AC-45AC-997E-865ED8066A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DAA6A7-B82A-4E8E-9FB6-A3328A767DB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AC-45AC-997E-865ED8066A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29D88DE-FDDC-481D-BCC8-9CC73E01E3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AC-45AC-997E-865ED8066A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97648A6-1D71-428A-8684-F2DF04292B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AC-45AC-997E-865ED8066A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B52DA6-529F-48A9-95EE-5E5967FD470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AC-45AC-997E-865ED8066A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2B9A14A-0EFA-44E5-9976-A381A6E23B0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AC-45AC-997E-865ED8066A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F058B3D-644D-4A35-953D-EECF1E40CB4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AC-45AC-997E-865ED8066A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9A5DF7-5AE0-4C38-B112-FE8C37F0E1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AC-45AC-997E-865ED8066A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3CFB9D-8594-4D64-BC5C-D762522287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AC-45AC-997E-865ED8066A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C277A7-2130-4AE5-B886-547FC0B5E9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AC-45AC-997E-865ED8066A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D96196-BF47-4B82-A405-A8AAECA83C9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AC-45AC-997E-865ED8066A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F143AE0-7AEC-46AF-A780-FBB98A8B8B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AC-45AC-997E-865ED8066A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267430-BCBB-41D9-A53A-77A44443B3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AC-45AC-997E-865ED8066A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55C23C3-0AE5-4484-A08B-1B0A971668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AC-45AC-997E-865ED8066A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E92AAEC-958B-47D0-8729-B15F83F5DFC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AC-45AC-997E-865ED8066A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84BD16-CAD8-4CA3-97FF-7BB77AC0F11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AC-45AC-997E-865ED8066A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173A972-B769-40A7-9F30-4B9A994B7C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AC-45AC-997E-865ED8066A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D044F2-EDDA-43B6-9575-B03E5B4FB8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AC-45AC-997E-865ED8066A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0B596E-A0FF-4CF0-B4A5-363CFB9498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AC-45AC-997E-865ED8066A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913964-F50F-4CC1-A3AB-638E0A44A2C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AC-45AC-997E-865ED8066A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7902726-6956-4E8E-AE2D-6BD84D6A8C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AC-45AC-997E-865ED8066A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5507B4-E234-4963-A718-C0E3DB2568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AC-45AC-997E-865ED8066A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61039D-DC86-4FDA-A7D9-BF4BD906E59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AC-45AC-997E-865ED8066A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803D50-C321-498F-8596-472DFCB3E57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AC-45AC-997E-865ED8066A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94D150-3752-46C0-AFE2-5ABD495D1C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AC-45AC-997E-865ED8066A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1823791-02BB-4F80-AAB3-81B0D2ACDDE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AC-45AC-997E-865ED8066A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5B3DEE5-9328-4D5C-8E5B-5A6835BE10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AC-45AC-997E-865ED8066A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ACB8B51-BA02-4142-9D13-2277DE33D5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AC-45AC-997E-865ED8066A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E852DC-632B-4DBF-BD6C-ADF84CF83E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AC-45AC-997E-865ED8066A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427150-CBF9-4944-8226-B9D42AD2250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AC-45AC-997E-865ED8066A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3ED784-E075-4006-A2D3-08A323BDD6B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AC-45AC-997E-865ED8066A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10F013-072B-4275-A026-046FE278D65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AC-45AC-997E-865ED8066A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C2F803-F801-4B3A-AA1B-974E71FC7A3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AC-45AC-997E-865ED8066A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B4810FE-2B59-44C8-8283-28FB767F8FB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AC-45AC-997E-865ED8066A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6A639B-F0A8-4965-91A9-3448C7C2C83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AC-45AC-997E-865ED8066A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77C296-9341-46E0-900B-DBB4DD8F96B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AC-45AC-997E-865ED8066A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689446A-4050-4956-B43F-A91744B047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AC-45AC-997E-865ED8066A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3D01EA8-FB13-43E6-A4D1-3E74BB9D37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AC-45AC-997E-865ED8066A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D42D356-053E-4B8E-9EC1-890BE62E0C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AC-45AC-997E-865ED8066A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544B58-7BBB-47E6-9194-55CEBC43C30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AC-45AC-997E-865ED8066A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5C8C00-0A45-4773-B7B7-B9966B7C5D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AC-45AC-997E-865ED8066A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FABED7-3A9B-4DA3-941E-4B50B7EECF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AC-45AC-997E-865ED8066A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1D4A0E7-9553-4844-AA8F-A07316213C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AC-45AC-997E-865ED8066A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A53F8F-27A0-4E66-8AE2-951BA2A09A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AC-45AC-997E-865ED8066A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BB420C-FC79-4185-8297-F60BE11CD28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AC-45AC-997E-865ED8066A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FD5211-1B74-41E4-AAD9-754ED48DD82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AC-45AC-997E-865ED8066A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F70A38-38BA-47A6-9BD1-50A876B2D8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AC-45AC-997E-865ED8066A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D76481-6826-423D-89B2-0BB0C98FF9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AC-45AC-997E-865ED8066A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E97FFB-C4BF-456E-803B-EBFE4B72649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AC-45AC-997E-865ED8066A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6D2C94-3B25-4289-9D8C-38C80EA004E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AC-45AC-997E-865ED8066A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867E973-8DD8-41F6-8BBC-ED12B81BEE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AC-45AC-997E-865ED8066A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9E63D5-4FDA-48BF-A7D0-B78DD11C7B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AC-45AC-997E-865ED8066A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05FF39A-08A1-4176-AA85-855405201F1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AC-45AC-997E-865ED8066A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DC47C28-8540-46E0-943A-9176F9D160C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AC-45AC-997E-865ED8066A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46A855-32AD-4822-8456-20BE8C8245A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AC-45AC-997E-865ED8066A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74A68F-356B-41B8-A9A2-D7975E6D839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AC-45AC-997E-865ED8066A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57E903-ACB2-43E0-A608-4F2AF66E9A2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AC-45AC-997E-865ED8066A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CEDDB62-091C-4BCE-8BFA-ECE33BF9D35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AC-45AC-997E-865ED8066A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9C89414-7507-418D-98BE-E23BEE3017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AC-45AC-997E-865ED8066A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9C7E26B-FE08-41BB-997D-1CB00074A23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AC-45AC-997E-865ED8066A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961F5F-43BB-4FED-802D-8CFDBE5580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AC-45AC-997E-865ED8066A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0189D9C-0C97-4502-9077-25DAC93734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AC-45AC-997E-865ED8066A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1BD6097-1279-4B07-A1EB-6791A27274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AC-45AC-997E-865ED8066A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4E117F-019A-4B5C-BDF3-57096CF82EB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AC-45AC-997E-865ED8066A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FDBAE5-7B80-479A-9F3C-A42B09DED10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AC-45AC-997E-865ED8066A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812F94-CA32-4434-B5A1-F0D2DD6F25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AC-45AC-997E-865ED8066A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442D2A5-8618-47BF-A117-F87B2C6EEE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AC-45AC-997E-865ED8066A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0133A7-A1EC-46BF-B9C7-2A3272F02C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AC-45AC-997E-865ED8066A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405FA9-1E0E-433B-9C64-E177DEEED8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AC-45AC-997E-865ED8066A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C2479D-00B7-4B4C-ACEA-1AFCB83499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AC-45AC-997E-865ED8066A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75E5B4B-569F-4502-BF74-7E71B920BC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AC-45AC-997E-865ED8066A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48E8BB-3F6A-4ACA-B67F-677406E8AE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AC-45AC-997E-865ED8066A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1F1F36-735E-4AA6-B090-3F51C803DB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AC-45AC-997E-865ED8066A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4A24EA0-F70D-4792-8EA9-AD8C3F38DBA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AC-45AC-997E-865ED8066A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8991FB-971F-4294-BD2F-A7E9BA0A8CF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AC-45AC-997E-865ED8066A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18F4D6-160F-42AB-8F59-FEB8A333B38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AC-45AC-997E-865ED8066A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7411D2-9F11-4C11-8B01-D0BF9EA92E9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AC-45AC-997E-865ED8066A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E3BFB10-AEDE-4B09-A6DF-B0B8D6DFC4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AC-45AC-997E-865ED8066A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CE0906-0D64-4E90-807D-A322BE3A36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AC-45AC-997E-865ED8066A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455ABE-5A11-487F-9410-2AA36AF63C7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AC-45AC-997E-865ED8066A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3E68AC-D89D-4D84-A1CA-E6062BB0AA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AC-45AC-997E-865ED8066A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11CC6C8-04DA-4991-B30C-724513EAEC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AC-45AC-997E-865ED8066A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3DABA1-852B-45AC-9B76-6A3A70559A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AC-45AC-997E-865ED8066A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9A3984-8648-4024-87B8-A4FD464C19A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AC-45AC-997E-865ED8066A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91B892-AD25-49DE-B7C1-46279FA066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AC-45AC-997E-865ED8066A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CBFA5D6-0ABE-498F-86A9-C3840A6B0E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AC-45AC-997E-865ED8066A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2E81178-16E1-4CB7-94B6-1D48EA4CE2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AC-45AC-997E-865ED8066A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8F5B3C2-28B9-46A9-ABDD-5A8C2B523C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AC-45AC-997E-865ED8066A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0446406-2824-4AC8-B035-B5E7630C90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AC-45AC-997E-865ED8066A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fld id="{D4971F11-4E10-4BF8-BFD7-3E79A43520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AC-45AC-997E-865ED8066A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fld id="{82D2DDBB-B140-4371-848C-7633445C26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AC-45AC-997E-865ED8066A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fld id="{72DF7607-556F-415C-B28A-CD09A116D1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AC-45AC-997E-865ED8066A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fld id="{93AC5F55-ECB5-4EFD-AEAD-68336F0EF66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AC-45AC-997E-865ED8066A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fld id="{E83CD199-1ED8-47F2-8628-F053EA994E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AC-45AC-997E-865ED8066A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fld id="{E8D731CA-0123-4934-AA01-D19D93314D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AC-45AC-997E-865ED8066A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fld id="{577C20F8-6E81-4D43-9138-BAB5B68379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AC-45AC-997E-865ED8066A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fld id="{481893BE-28B6-4C4E-9FA0-6A92774C1C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AC-45AC-997E-865ED8066A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fld id="{276FB49B-E2AC-4C18-9F7A-31E109C1A8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AC-45AC-997E-865ED8066A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fld id="{56993AC2-2EEC-4CEF-AA01-625FC2D0F8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AC-45AC-997E-865ED8066A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fld id="{C30A9C37-2242-467A-819E-47598640BA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AC-45AC-997E-865ED8066A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fld id="{99F8CCF2-448C-48B1-BB6E-16194069DDE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AC-45AC-997E-865ED8066A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fld id="{A57590B7-016B-4ED0-B04E-02316CF35E9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AC-45AC-997E-865ED8066A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fld id="{960F2CE3-C53B-4F2C-B43C-998014F241F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AC-45AC-997E-865ED8066A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fld id="{DA9D9193-BC09-40F7-81D8-01C4FE7A7DD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AC-45AC-997E-865ED8066A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fld id="{4820C9BA-0793-4A51-8012-4F44DF4106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AC-45AC-997E-865ED8066A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fld id="{AA87A76B-0801-4340-8F0C-401445254F3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AC-45AC-997E-865ED8066A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fld id="{12EF79CC-0080-4518-8270-F343F7A18E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AC-45AC-997E-865ED8066A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fld id="{E58DA719-700C-41E6-A117-2D38684DFE8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AC-45AC-997E-865ED8066A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fld id="{1294E1DE-A020-4769-9C6C-3AD9419B1A6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AC-45AC-997E-865ED8066A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fld id="{B7258FBC-6E47-4CC1-8C3B-B2C74164995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AC-45AC-997E-865ED8066A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fld id="{328581B1-4700-4DF2-B5F5-49B442F400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AC-45AC-997E-865ED8066A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fld id="{D4740912-E265-44AA-8FE8-259CCC85185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AC-45AC-997E-865ED8066A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fld id="{CCC7747D-EE61-4A17-9D03-2BC06FF833C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AC-45AC-997E-865ED8066A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fld id="{FAB1D00B-5969-4406-95ED-5684B035E3A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AC-45AC-997E-865ED8066A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fld id="{60F5FAF5-538A-4BBE-A16B-D3A23394A7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AC-45AC-997E-865ED8066A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fld id="{79FF88D0-2D53-480F-8F0F-C9C7E0DB728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AC-45AC-997E-865ED8066A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fld id="{5D102400-A46B-440B-ABE2-F3F3993599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AC-45AC-997E-865ED8066A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fld id="{CC1002CF-F7D4-4BBB-9CCA-22BF5EB2DE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AC-45AC-997E-865ED8066A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fld id="{66F9CEC1-DE11-41B1-9FE8-604EF0E79B8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AC-45AC-997E-865ED8066A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fld id="{52DCF849-54E1-4496-A1ED-235C2F2F801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AC-45AC-997E-865ED8066A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fld id="{F8FF5CF3-01A5-4A7C-817B-5FF2D9E6145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AC-45AC-997E-865ED8066A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fld id="{0394B948-B274-4C70-B521-287C42571A9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AC-45AC-997E-865ED8066A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fld id="{9F7AE92F-7003-4022-B4CA-70F8EC54668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AC-45AC-997E-865ED8066A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fld id="{B8D4867F-7579-4887-B996-973E6E69F9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AC-45AC-997E-865ED8066A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fld id="{8370B7D1-77DF-44B7-BE8A-7C47211E84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AC-45AC-997E-865ED8066A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fld id="{550BE229-2F5E-46A2-8CB6-D8EC0F7FC4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AC-45AC-997E-865ED8066A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fld id="{F5A53A27-0946-42D3-A538-47D539FA669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AC-45AC-997E-865ED8066A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fld id="{5F162277-2680-4AE9-A437-4E9146C20F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AC-45AC-997E-865ED8066A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fld id="{FA4C4B83-8C8B-4D21-ACEB-F253E4C04B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AC-45AC-997E-865ED8066A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fld id="{D4A0C427-D605-486E-AED5-F54CA4671B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AC-45AC-997E-865ED8066A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fld id="{24182F78-4466-48C8-B9E5-0A427AF7B9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AC-45AC-997E-865ED8066A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fld id="{F85C2D82-2DBD-42D6-9ECC-6AAB71A3F1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AC-45AC-997E-865ED8066A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fld id="{423EAFC7-6AF1-413B-94F3-A792E8B438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AC-45AC-997E-865ED8066A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fld id="{3F45ADDB-ACB2-47D8-A70D-418C1D66237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AC-45AC-997E-865ED8066A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fld id="{B1066248-370B-47A3-891C-74B0C4AE1BE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AC-45AC-997E-865ED8066A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fld id="{34DD1AD8-320C-4B9D-A7AA-E64EF020A3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AC-45AC-997E-865ED8066A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fld id="{4BFB9291-5B7B-4CD2-81A7-6090A7011A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AC-45AC-997E-865ED8066A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fld id="{508E5D09-847A-4B5E-976C-60E8E88B37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AC-45AC-997E-865ED8066A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fld id="{71C2D97F-A0DC-4995-801F-C82DD2FC54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AC-45AC-997E-865ED8066A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fld id="{A666917D-9E6B-4A27-8392-FDE81C77085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AC-45AC-997E-865ED8066A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fld id="{D582DF92-4F89-4D81-BFB1-E0C16CF7C88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AC-45AC-997E-865ED8066A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fld id="{DAD3B28E-68E7-4D0A-A883-8C5EBD838D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AC-45AC-997E-865ED8066A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fld id="{0F08E0BC-5871-4020-B53F-DDF75711897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AC-45AC-997E-865ED8066A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fld id="{7EBDF8A5-7344-42F9-BDFF-72AE66CBB79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AC-45AC-997E-865ED8066A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fld id="{A6FCD2A8-374E-48E9-A776-CA96230954B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AC-45AC-997E-865ED8066A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fld id="{386FC037-8B41-494B-B6CE-519D55EC4B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AC-45AC-997E-865ED8066A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fld id="{03856AC9-D646-4659-AA60-FA99BBC3DF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AC-45AC-997E-865ED8066A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fld id="{4F3BDC2B-7E91-4E93-A436-3E8ADF9D107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AC-45AC-997E-865ED8066A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fld id="{10FF0B45-A611-4821-B57B-FA1ACFA068B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AC-45AC-997E-865ED8066A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fld id="{C2113B52-EAB2-406A-9AEE-BB81183BDA7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AC-45AC-997E-865ED8066A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fld id="{F0DB9C80-78EB-423F-BE86-F50FAFACB8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AC-45AC-997E-865ED8066A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fld id="{35C0086E-6CD0-48B8-8A1B-400CA4C299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AC-45AC-997E-865ED8066A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fld id="{1D0F3382-6BC7-41F1-982F-6C6262A599C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AC-45AC-997E-865ED8066A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fld id="{801E0FCD-3D9C-47B3-9148-B5DA69FC8C7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AC-45AC-997E-865ED8066A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fld id="{8BBF98DD-B435-4158-B587-B8A7BAF61F7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AC-45AC-997E-865ED8066A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fld id="{BD79AFBE-480F-4C8A-9E92-F67A46640F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AC-45AC-997E-865ED8066A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fld id="{7690DA7B-80BD-4161-ADC8-B510F53BBEE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AC-45AC-997E-865ED8066A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fld id="{6E4868C5-AF1C-4A4C-8B8C-5001910C4D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AC-45AC-997E-865ED8066A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fld id="{29BED1B1-E025-4574-9DEC-8BBF0CC586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AC-45AC-997E-865ED8066A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fld id="{AA47323C-B3AB-4202-BBB3-3E3CB32B36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AC-45AC-997E-865ED8066A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fld id="{33DA8C67-EAA2-43AD-9ED0-04A9AE66BA6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AC-45AC-997E-865ED8066A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fld id="{F50C14B5-639C-4896-9175-C86D3ECC59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AC-45AC-997E-865ED8066A93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fld id="{D6A6FC46-2785-4489-BDAD-70DD764998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6AC-45AC-997E-865ED8066A93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fld id="{4E5C9F65-1A31-46B6-A542-F02D545E69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46AC-45AC-997E-865ED8066A93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fld id="{90065BE2-E6A5-4724-81FF-A0E0C1B2C3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46AC-45AC-997E-865ED8066A93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fld id="{375AFDD8-C91A-48CF-8065-CF586ACBE5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46AC-45AC-997E-865ED8066A93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fld id="{689719B3-1AD9-4F1D-9A2B-FCCBD3AD695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46AC-45AC-997E-865ED8066A93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fld id="{62DA8941-4230-438B-89C5-D3D69691E9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46AC-45AC-997E-865ED8066A93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fld id="{87E6605C-9B7A-4D78-A64C-13B2A7DD22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46AC-45AC-997E-865ED8066A93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fld id="{F5B5595F-C941-4029-93C4-44A39BAF09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46AC-45AC-997E-865ED8066A93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fld id="{620BB162-099E-498C-9411-903207BD2F6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46AC-45AC-997E-865ED8066A93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fld id="{A0D48474-A1A6-48AF-A92A-6D98919227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46AC-45AC-997E-865ED8066A93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fld id="{AA803514-262D-4498-966D-A1BC3023AE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46AC-45AC-997E-865ED8066A93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fld id="{85311625-861F-4E82-9BFC-856B3CBB65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46AC-45AC-997E-865ED8066A93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fld id="{AE9BC0ED-D44E-4697-B47C-3E24B5CD82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46AC-45AC-997E-865ED8066A93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fld id="{821BB85E-56D3-4F43-99F4-299D7A746C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46AC-45AC-997E-865ED8066A93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fld id="{FDCD1578-A766-4BD2-8CDA-8150F913C37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46AC-45AC-997E-865ED8066A93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fld id="{CC1066B0-99F8-4EA8-B2A5-60B1A65A4C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46AC-45AC-997E-865ED8066A93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fld id="{91D588AF-AD50-4B4C-8AB9-EA24C1E9F3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46AC-45AC-997E-865ED8066A93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fld id="{F866FD62-33A1-488B-8327-6DF8355189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46AC-45AC-997E-865ED8066A93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fld id="{90FF81AC-D8BE-448C-BFC5-091430B517B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46AC-45AC-997E-865ED8066A93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fld id="{02910A6D-37FB-4C98-BF06-3035AC2062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46AC-45AC-997E-865ED8066A93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fld id="{30663EEC-A729-45F0-90A2-5D770BA41B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46AC-45AC-997E-865ED8066A93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fld id="{2560122E-DAF5-4418-8019-8D02454AC6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46AC-45AC-997E-865ED8066A93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fld id="{3AA92F57-E929-4666-B314-87F7072B160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46AC-45AC-997E-865ED8066A93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fld id="{90458197-3082-4AA8-B72F-C6A5CE70138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46AC-45AC-997E-865ED8066A93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fld id="{0624DABC-E31D-4039-A38E-382249AAE30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46AC-45AC-997E-865ED8066A93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fld id="{797E2C93-6FD2-40E7-80D8-9A2806CAC36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46AC-45AC-997E-865ED8066A93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fld id="{A51021F8-E1D5-4BAA-9E5E-6A11A1B90AE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46AC-45AC-997E-865ED8066A93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fld id="{2A47DF0B-551D-44FE-8661-31522488D78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46AC-45AC-997E-865ED8066A93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fld id="{3460CC6B-A7B3-421F-98BD-316EA607BD9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46AC-45AC-997E-865ED8066A93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fld id="{BB5B6505-3326-4701-AA7A-E2642E89818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46AC-45AC-997E-865ED8066A93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fld id="{814D84E4-0757-4065-808E-F15D2BF7C5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46AC-45AC-997E-865ED8066A93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fld id="{FF5752D1-4315-46D0-96F4-409E2EFFB1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46AC-45AC-997E-865ED8066A93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fld id="{E14F1D66-D454-4D4D-B1AD-950BC9E2BF6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46AC-45AC-997E-865ED8066A93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fld id="{8143E2BF-7115-4B9B-BC60-6EBE4498A56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46AC-45AC-997E-865ED8066A93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fld id="{F874AFA9-0381-48FF-B3AE-9DD11CBAFE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46AC-45AC-997E-865ED8066A93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fld id="{45110A2E-87B0-46F4-AE18-CCC33242BFF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46AC-45AC-997E-865ED8066A93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fld id="{7DD539A1-AA34-483B-93CA-8EE82578F7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46AC-45AC-997E-865ED8066A93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fld id="{8C2B2C1E-CC19-4DBD-B3D4-13BCE93F6F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46AC-45AC-997E-865ED8066A93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fld id="{346965F0-5616-4C84-A23A-88A96152273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46AC-45AC-997E-865ED8066A93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fld id="{252D6F03-1916-4447-B94B-91E07BE4FB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46AC-45AC-997E-865ED8066A93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fld id="{65F011D2-0FEB-4B88-910F-FAB2269AB5C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46AC-45AC-997E-865ED8066A93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fld id="{7DE08997-F37F-439C-8B80-8EBDAE51A18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46AC-45AC-997E-865ED8066A93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fld id="{556B6D1F-44A0-4777-9BF5-92F91D2C55F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46AC-45AC-997E-865ED8066A93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fld id="{8F33AE60-FD9D-4859-9F72-BCCB1CAA25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46AC-45AC-997E-865ED8066A93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fld id="{E8441BE4-7088-4905-919F-78F5EEAECD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46AC-45AC-997E-865ED8066A93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fld id="{FC66D14F-0B5B-4BBA-9DCF-49C500C91F1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46AC-45AC-997E-865ED8066A93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fld id="{1F60F4B4-488A-4E42-BCDD-62C814D83A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46AC-45AC-997E-865ED8066A93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fld id="{1085902D-4802-49E5-BD2F-2AD3C3E295B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46AC-45AC-997E-865ED8066A93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fld id="{D3E9D95C-EC3A-4716-97A5-FFFD4A5F19A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46AC-45AC-997E-865ED8066A93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fld id="{0AD5E6E6-27BE-462B-8D1F-EC6FF535CC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46AC-45AC-997E-865ED8066A93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fld id="{C83D508C-9EDC-48D4-9F9D-649584262D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46AC-45AC-997E-865ED8066A93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fld id="{B4EACED9-B747-46EB-A756-EA6BDF1B58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46AC-45AC-997E-865ED8066A93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fld id="{8532A7A7-3DEC-4E56-BFEE-E81FC9D9E30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46AC-45AC-997E-865ED8066A93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fld id="{71F79082-2058-4F01-987A-5C8FEF89BB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46AC-45AC-997E-865ED8066A93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fld id="{AA693789-52E3-4707-8C85-2EFB3378449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46AC-45AC-997E-865ED8066A93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fld id="{ECB6AF44-1006-4617-A745-89BF0172AA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46AC-45AC-997E-865ED8066A93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fld id="{D3D62661-97A7-40A5-AB79-D750989B6F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46AC-45AC-997E-865ED8066A93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fld id="{1F7FB284-2BEC-4E41-ACD5-837DFA3570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46AC-45AC-997E-865ED8066A93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fld id="{F2789AF8-3D1F-4C48-A058-2B47D0355B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46AC-45AC-997E-865ED8066A93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fld id="{0FF3EEC6-CAFC-44AD-9904-DA12BB8CBA5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46AC-45AC-997E-865ED8066A93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fld id="{0792EC40-DF86-403E-86AD-709D5886C23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46AC-45AC-997E-865ED8066A93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fld id="{4F394C9E-7666-4026-A2D1-B408B1A60E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46AC-45AC-997E-865ED8066A93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fld id="{BCAF4C3A-7853-4EED-8EB5-98B7783237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46AC-45AC-997E-865ED8066A93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fld id="{E2E9A101-F3E8-42DC-9C45-DFBB40D779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46AC-45AC-997E-865ED8066A93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fld id="{D6582905-5521-48A6-958E-859B6560FDE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46AC-45AC-997E-865ED8066A93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fld id="{418C1E30-C82A-479B-AE71-7E068A1318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46AC-45AC-997E-865ED8066A93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fld id="{2B3A8D64-3C74-41ED-8DE2-73F516FF890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46AC-45AC-997E-865ED8066A93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fld id="{8CABDD6E-7198-4A2B-AF54-57517403128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46AC-45AC-997E-865ED8066A93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fld id="{13CD66FB-36A1-4021-924D-22CD93B465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46AC-45AC-997E-865ED8066A93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fld id="{6C2D41E9-2345-40B3-9145-E120135B59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46AC-45AC-997E-865ED8066A93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fld id="{6B1BFB70-4290-4CD1-AF7E-087A3C957C8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46AC-45AC-997E-865ED8066A93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fld id="{307C7FE8-979C-45C6-9248-70BB25F2CB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46AC-45AC-997E-865ED8066A93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fld id="{7889D26A-8BA7-4D69-BF38-96934C2745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46AC-45AC-997E-865ED8066A93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fld id="{C939FDAC-07FB-4309-ADBC-4B26DB8838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46AC-45AC-997E-865ED8066A93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fld id="{37699A7D-7F37-46F2-83AE-0634F651EF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46AC-45AC-997E-865ED8066A93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fld id="{E582ADB1-D895-4C9E-838D-C50E8BB673D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46AC-45AC-997E-865ED8066A93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fld id="{D3249ED2-A145-4AEF-B979-1D7B03D90A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46AC-45AC-997E-865ED8066A93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fld id="{E34982CC-4B45-4200-89EB-E10EAF00D1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46AC-45AC-997E-865ED8066A93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fld id="{807CEBDD-BD67-4C2D-8A4A-709DCAFAA8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46AC-45AC-997E-865ED8066A93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fld id="{2AECAEE4-678B-46F5-B7EC-67440E9B8E6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46AC-45AC-997E-865ED8066A93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fld id="{F5D7A945-B3AB-4F89-8CD9-E2CE2F6733E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46AC-45AC-997E-865ED8066A93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fld id="{F0F967A5-F8B3-4028-AC45-EDDEA89C19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46AC-45AC-997E-865ED8066A93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fld id="{2ECD0E41-A6AA-4F02-8BC7-B830679D51A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46AC-45AC-997E-865ED8066A93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fld id="{55E006E0-6D13-4DD8-9AF3-B863EA7911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46AC-45AC-997E-865ED8066A93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fld id="{779E236B-D2E0-4ECB-826B-8637123E7F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46AC-45AC-997E-865ED8066A93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fld id="{6D1BCF17-3CF2-47B1-8C96-D4E5AE58FD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46AC-45AC-997E-865ED8066A93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fld id="{57BE7A54-03B3-4DE6-868D-9A1C54B316A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46AC-45AC-997E-865ED8066A93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fld id="{E682D0B9-A7FC-4876-AE36-A3A55E0EC1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46AC-45AC-997E-865ED8066A93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fld id="{B33331D5-5F2F-4A87-BFD9-3E52FAE3618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46AC-45AC-997E-865ED8066A93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fld id="{B50D5B7E-D2BA-4A60-897B-1CD513B283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46AC-45AC-997E-865ED8066A93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fld id="{83415D35-3D16-4FA7-B618-D65545D5C55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46AC-45AC-997E-865ED8066A93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fld id="{289D8515-8247-47FB-9FB8-8F68848587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46AC-45AC-997E-865ED8066A93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fld id="{47E654AC-32EE-4687-9930-B3C7739A5B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46AC-45AC-997E-865ED8066A93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fld id="{D4805983-C71A-4588-8EA0-0A37B208FCC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46AC-45AC-997E-865ED8066A93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fld id="{92FDD70F-D8B2-4BE3-9BFE-15BD2F60EA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46AC-45AC-997E-865ED8066A93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fld id="{6049042F-90FE-404C-9AE4-FE7836073D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46AC-45AC-997E-865ED8066A93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fld id="{4618FF18-222C-4C28-BF9A-C0D10B2505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46AC-45AC-997E-865ED8066A93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fld id="{B89402C6-A16B-40DD-81F4-A768DA2CF0C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46AC-45AC-997E-865ED8066A93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fld id="{428E2F2F-6FF1-49C7-8D50-20809445A5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46AC-45AC-997E-865ED8066A93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fld id="{13A975F5-B668-439E-8E54-F492248921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46AC-45AC-997E-865ED8066A93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fld id="{4B0219DF-00BE-44B5-B20C-3FCF832AB0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46AC-45AC-997E-865ED8066A93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fld id="{16863040-A146-4E3E-87DC-3F48DB6D48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46AC-45AC-997E-865ED8066A93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fld id="{8699D958-F454-40CC-9B33-FBADC49AECA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46AC-45AC-997E-865ED8066A93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fld id="{721089BC-AF10-48CD-8EE7-5C96E183DA9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46AC-45AC-997E-865ED8066A93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fld id="{66DED6C3-5F4F-4AA0-BE91-0EB94EE94C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46AC-45AC-997E-865ED8066A93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fld id="{67AD1B4C-4B86-490B-B2A9-98CA76B308D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46AC-45AC-997E-865ED8066A93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fld id="{A80B2B3F-06A1-4295-88DB-0A97693023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46AC-45AC-997E-865ED8066A93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fld id="{EDC26529-A3B5-4601-B5D5-631521A25B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46AC-45AC-997E-865ED8066A93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fld id="{8680F40E-2256-44B2-ABB2-2B8FE55CFC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46AC-45AC-997E-865ED8066A93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fld id="{494321E2-1937-44C5-8EE1-E32CE94182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46AC-45AC-997E-865ED8066A93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fld id="{7DB418F0-88CD-4C2D-A717-EBA4B929D0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46AC-45AC-997E-865ED8066A93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fld id="{9E6C4251-90E3-41A1-B49B-AE46941AB7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46AC-45AC-997E-865ED8066A93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fld id="{1320C333-DB1C-45B3-B31A-F89954A81B9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46AC-45AC-997E-865ED8066A93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fld id="{20152D14-5886-44B0-AFC7-932F987EAB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46AC-45AC-997E-865ED8066A93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fld id="{339EEE22-CD2D-4976-981E-08D6E72C509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46AC-45AC-997E-865ED8066A93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fld id="{90EB9857-243F-4166-8EE9-61420DBF28A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46AC-45AC-997E-865ED8066A93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fld id="{F75559FD-FE7D-4FCA-BAC9-D4DFC284C5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46AC-45AC-997E-865ED8066A93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fld id="{744340AC-05C0-441C-996D-6A186E762EF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46AC-45AC-997E-865ED8066A93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fld id="{ACE0D303-AA72-4394-B587-572AD642F27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46AC-45AC-997E-865ED8066A93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fld id="{A95BFB2E-977D-49E0-9EFA-759BF62D07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46AC-45AC-997E-865ED8066A93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fld id="{A6926AE8-0083-4866-B694-FB4D0B151AC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46AC-45AC-997E-865ED8066A93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fld id="{0E753941-8334-4641-B741-B0F49182FD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46AC-45AC-997E-865ED8066A93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fld id="{7A231256-E628-4EB5-B364-C3A1D95446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46AC-45AC-997E-865ED8066A93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fld id="{FA9CA157-717F-436E-869D-72EEF62E84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46AC-45AC-997E-865ED8066A93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fld id="{BCAAD5F7-F53D-4DBB-B956-A3A096FA1D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46AC-45AC-997E-865ED8066A93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fld id="{90E15593-63D1-481A-91F4-913598A6215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46AC-45AC-997E-865ED8066A93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fld id="{4D0256C4-9544-4DDE-A7B5-33BD9DD9FD5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46AC-45AC-997E-865ED8066A93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fld id="{6C1D1180-9BF5-4256-BCE4-7065EF1A815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46AC-45AC-997E-865ED8066A93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fld id="{523EDFED-4950-4B70-9014-DB788499BB2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46AC-45AC-997E-865ED8066A93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fld id="{CE58F434-CE14-4405-9083-E24EBDBD54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46AC-45AC-997E-865ED8066A93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fld id="{F0101A9E-5593-486D-8D44-667D118FBC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46AC-45AC-997E-865ED8066A93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fld id="{64D41F89-66F7-4700-BBBA-C5579D9F0C5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46AC-45AC-997E-865ED8066A93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fld id="{E0DDDB48-0B9D-4639-B8CE-80CC1A6E16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46AC-45AC-997E-865ED8066A93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fld id="{4B2B9330-E0CA-4D2B-AFA8-0E08945E048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46AC-45AC-997E-865ED8066A93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fld id="{613F2E50-7325-475E-886E-F615357EC56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46AC-45AC-997E-865ED8066A93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fld id="{B4AA42EE-1986-4EE6-B0E7-1F25E08402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46AC-45AC-997E-865ED8066A93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fld id="{DFF6FE34-3FBD-40C3-B5D8-4F32881856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46AC-45AC-997E-865ED8066A93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fld id="{D109325C-9F0E-4819-8A97-2D86D88889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46AC-45AC-997E-865ED8066A93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fld id="{B275D92D-B0E1-45C9-82A2-D74828C22D6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46AC-45AC-997E-865ED8066A93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fld id="{69DE1DC9-2390-4099-B311-15AEAB9E2D9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46AC-45AC-997E-865ED8066A93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fld id="{F5AB5139-8A6B-43E9-AAB3-63457F652B7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46AC-45AC-997E-865ED8066A93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fld id="{2A33BBDF-43AE-4DCA-B55E-1DA8AF7F67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46AC-45AC-997E-865ED806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Paths!$AB$1:$AB$441</c:f>
              <c:numCache>
                <c:formatCode>General</c:formatCode>
                <c:ptCount val="44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  <c:pt idx="21">
                  <c:v>-10</c:v>
                </c:pt>
                <c:pt idx="22">
                  <c:v>-9</c:v>
                </c:pt>
                <c:pt idx="23">
                  <c:v>-8</c:v>
                </c:pt>
                <c:pt idx="24">
                  <c:v>-7</c:v>
                </c:pt>
                <c:pt idx="25">
                  <c:v>-6</c:v>
                </c:pt>
                <c:pt idx="26">
                  <c:v>-5</c:v>
                </c:pt>
                <c:pt idx="27">
                  <c:v>-4</c:v>
                </c:pt>
                <c:pt idx="28">
                  <c:v>-3</c:v>
                </c:pt>
                <c:pt idx="29">
                  <c:v>-2</c:v>
                </c:pt>
                <c:pt idx="30">
                  <c:v>-1</c:v>
                </c:pt>
                <c:pt idx="31">
                  <c:v>0</c:v>
                </c:pt>
                <c:pt idx="32">
                  <c:v>1</c:v>
                </c:pt>
                <c:pt idx="33">
                  <c:v>2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9</c:v>
                </c:pt>
                <c:pt idx="41">
                  <c:v>10</c:v>
                </c:pt>
                <c:pt idx="42">
                  <c:v>-10</c:v>
                </c:pt>
                <c:pt idx="43">
                  <c:v>-9</c:v>
                </c:pt>
                <c:pt idx="44">
                  <c:v>-8</c:v>
                </c:pt>
                <c:pt idx="45">
                  <c:v>-7</c:v>
                </c:pt>
                <c:pt idx="46">
                  <c:v>-6</c:v>
                </c:pt>
                <c:pt idx="47">
                  <c:v>-5</c:v>
                </c:pt>
                <c:pt idx="48">
                  <c:v>-4</c:v>
                </c:pt>
                <c:pt idx="49">
                  <c:v>-3</c:v>
                </c:pt>
                <c:pt idx="50">
                  <c:v>-2</c:v>
                </c:pt>
                <c:pt idx="51">
                  <c:v>-1</c:v>
                </c:pt>
                <c:pt idx="52">
                  <c:v>0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-10</c:v>
                </c:pt>
                <c:pt idx="64">
                  <c:v>-9</c:v>
                </c:pt>
                <c:pt idx="65">
                  <c:v>-8</c:v>
                </c:pt>
                <c:pt idx="66">
                  <c:v>-7</c:v>
                </c:pt>
                <c:pt idx="67">
                  <c:v>-6</c:v>
                </c:pt>
                <c:pt idx="68">
                  <c:v>-5</c:v>
                </c:pt>
                <c:pt idx="69">
                  <c:v>-4</c:v>
                </c:pt>
                <c:pt idx="70">
                  <c:v>-3</c:v>
                </c:pt>
                <c:pt idx="71">
                  <c:v>-2</c:v>
                </c:pt>
                <c:pt idx="72">
                  <c:v>-1</c:v>
                </c:pt>
                <c:pt idx="73">
                  <c:v>0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4</c:v>
                </c:pt>
                <c:pt idx="78">
                  <c:v>5</c:v>
                </c:pt>
                <c:pt idx="79">
                  <c:v>6</c:v>
                </c:pt>
                <c:pt idx="80">
                  <c:v>7</c:v>
                </c:pt>
                <c:pt idx="81">
                  <c:v>8</c:v>
                </c:pt>
                <c:pt idx="82">
                  <c:v>9</c:v>
                </c:pt>
                <c:pt idx="83">
                  <c:v>10</c:v>
                </c:pt>
                <c:pt idx="84">
                  <c:v>-10</c:v>
                </c:pt>
                <c:pt idx="85">
                  <c:v>-9</c:v>
                </c:pt>
                <c:pt idx="86">
                  <c:v>-8</c:v>
                </c:pt>
                <c:pt idx="87">
                  <c:v>-7</c:v>
                </c:pt>
                <c:pt idx="88">
                  <c:v>-6</c:v>
                </c:pt>
                <c:pt idx="89">
                  <c:v>-5</c:v>
                </c:pt>
                <c:pt idx="90">
                  <c:v>-4</c:v>
                </c:pt>
                <c:pt idx="91">
                  <c:v>-3</c:v>
                </c:pt>
                <c:pt idx="92">
                  <c:v>-2</c:v>
                </c:pt>
                <c:pt idx="93">
                  <c:v>-1</c:v>
                </c:pt>
                <c:pt idx="94">
                  <c:v>0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4</c:v>
                </c:pt>
                <c:pt idx="99">
                  <c:v>5</c:v>
                </c:pt>
                <c:pt idx="100">
                  <c:v>6</c:v>
                </c:pt>
                <c:pt idx="101">
                  <c:v>7</c:v>
                </c:pt>
                <c:pt idx="102">
                  <c:v>8</c:v>
                </c:pt>
                <c:pt idx="103">
                  <c:v>9</c:v>
                </c:pt>
                <c:pt idx="104">
                  <c:v>10</c:v>
                </c:pt>
                <c:pt idx="105">
                  <c:v>-10</c:v>
                </c:pt>
                <c:pt idx="106">
                  <c:v>-9</c:v>
                </c:pt>
                <c:pt idx="107">
                  <c:v>-8</c:v>
                </c:pt>
                <c:pt idx="108">
                  <c:v>-7</c:v>
                </c:pt>
                <c:pt idx="109">
                  <c:v>-6</c:v>
                </c:pt>
                <c:pt idx="110">
                  <c:v>-5</c:v>
                </c:pt>
                <c:pt idx="111">
                  <c:v>-4</c:v>
                </c:pt>
                <c:pt idx="112">
                  <c:v>-3</c:v>
                </c:pt>
                <c:pt idx="113">
                  <c:v>-2</c:v>
                </c:pt>
                <c:pt idx="114">
                  <c:v>-1</c:v>
                </c:pt>
                <c:pt idx="115">
                  <c:v>0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4</c:v>
                </c:pt>
                <c:pt idx="120">
                  <c:v>5</c:v>
                </c:pt>
                <c:pt idx="121">
                  <c:v>6</c:v>
                </c:pt>
                <c:pt idx="122">
                  <c:v>7</c:v>
                </c:pt>
                <c:pt idx="123">
                  <c:v>8</c:v>
                </c:pt>
                <c:pt idx="124">
                  <c:v>9</c:v>
                </c:pt>
                <c:pt idx="125">
                  <c:v>10</c:v>
                </c:pt>
                <c:pt idx="126">
                  <c:v>-10</c:v>
                </c:pt>
                <c:pt idx="127">
                  <c:v>-9</c:v>
                </c:pt>
                <c:pt idx="128">
                  <c:v>-8</c:v>
                </c:pt>
                <c:pt idx="129">
                  <c:v>-7</c:v>
                </c:pt>
                <c:pt idx="130">
                  <c:v>-6</c:v>
                </c:pt>
                <c:pt idx="131">
                  <c:v>-5</c:v>
                </c:pt>
                <c:pt idx="132">
                  <c:v>-4</c:v>
                </c:pt>
                <c:pt idx="133">
                  <c:v>-3</c:v>
                </c:pt>
                <c:pt idx="134">
                  <c:v>-2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2</c:v>
                </c:pt>
                <c:pt idx="139">
                  <c:v>3</c:v>
                </c:pt>
                <c:pt idx="140">
                  <c:v>4</c:v>
                </c:pt>
                <c:pt idx="141">
                  <c:v>5</c:v>
                </c:pt>
                <c:pt idx="142">
                  <c:v>6</c:v>
                </c:pt>
                <c:pt idx="143">
                  <c:v>7</c:v>
                </c:pt>
                <c:pt idx="144">
                  <c:v>8</c:v>
                </c:pt>
                <c:pt idx="145">
                  <c:v>9</c:v>
                </c:pt>
                <c:pt idx="146">
                  <c:v>10</c:v>
                </c:pt>
                <c:pt idx="147">
                  <c:v>-10</c:v>
                </c:pt>
                <c:pt idx="148">
                  <c:v>-9</c:v>
                </c:pt>
                <c:pt idx="149">
                  <c:v>-8</c:v>
                </c:pt>
                <c:pt idx="150">
                  <c:v>-7</c:v>
                </c:pt>
                <c:pt idx="151">
                  <c:v>-6</c:v>
                </c:pt>
                <c:pt idx="152">
                  <c:v>-5</c:v>
                </c:pt>
                <c:pt idx="153">
                  <c:v>-4</c:v>
                </c:pt>
                <c:pt idx="154">
                  <c:v>-3</c:v>
                </c:pt>
                <c:pt idx="155">
                  <c:v>-2</c:v>
                </c:pt>
                <c:pt idx="156">
                  <c:v>-1</c:v>
                </c:pt>
                <c:pt idx="157">
                  <c:v>0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7</c:v>
                </c:pt>
                <c:pt idx="165">
                  <c:v>8</c:v>
                </c:pt>
                <c:pt idx="166">
                  <c:v>9</c:v>
                </c:pt>
                <c:pt idx="167">
                  <c:v>10</c:v>
                </c:pt>
                <c:pt idx="168">
                  <c:v>-10</c:v>
                </c:pt>
                <c:pt idx="169">
                  <c:v>-9</c:v>
                </c:pt>
                <c:pt idx="170">
                  <c:v>-8</c:v>
                </c:pt>
                <c:pt idx="171">
                  <c:v>-7</c:v>
                </c:pt>
                <c:pt idx="172">
                  <c:v>-6</c:v>
                </c:pt>
                <c:pt idx="173">
                  <c:v>-5</c:v>
                </c:pt>
                <c:pt idx="174">
                  <c:v>-4</c:v>
                </c:pt>
                <c:pt idx="175">
                  <c:v>-3</c:v>
                </c:pt>
                <c:pt idx="176">
                  <c:v>-2</c:v>
                </c:pt>
                <c:pt idx="177">
                  <c:v>-1</c:v>
                </c:pt>
                <c:pt idx="178">
                  <c:v>0</c:v>
                </c:pt>
                <c:pt idx="179">
                  <c:v>1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7</c:v>
                </c:pt>
                <c:pt idx="186">
                  <c:v>8</c:v>
                </c:pt>
                <c:pt idx="187">
                  <c:v>9</c:v>
                </c:pt>
                <c:pt idx="188">
                  <c:v>10</c:v>
                </c:pt>
                <c:pt idx="189">
                  <c:v>-10</c:v>
                </c:pt>
                <c:pt idx="190">
                  <c:v>-9</c:v>
                </c:pt>
                <c:pt idx="191">
                  <c:v>-8</c:v>
                </c:pt>
                <c:pt idx="192">
                  <c:v>-7</c:v>
                </c:pt>
                <c:pt idx="193">
                  <c:v>-6</c:v>
                </c:pt>
                <c:pt idx="194">
                  <c:v>-5</c:v>
                </c:pt>
                <c:pt idx="195">
                  <c:v>-4</c:v>
                </c:pt>
                <c:pt idx="196">
                  <c:v>-3</c:v>
                </c:pt>
                <c:pt idx="197">
                  <c:v>-2</c:v>
                </c:pt>
                <c:pt idx="198">
                  <c:v>-1</c:v>
                </c:pt>
                <c:pt idx="199">
                  <c:v>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6</c:v>
                </c:pt>
                <c:pt idx="206">
                  <c:v>7</c:v>
                </c:pt>
                <c:pt idx="207">
                  <c:v>8</c:v>
                </c:pt>
                <c:pt idx="208">
                  <c:v>9</c:v>
                </c:pt>
                <c:pt idx="209">
                  <c:v>10</c:v>
                </c:pt>
                <c:pt idx="210">
                  <c:v>-10</c:v>
                </c:pt>
                <c:pt idx="211">
                  <c:v>-9</c:v>
                </c:pt>
                <c:pt idx="212">
                  <c:v>-8</c:v>
                </c:pt>
                <c:pt idx="213">
                  <c:v>-7</c:v>
                </c:pt>
                <c:pt idx="214">
                  <c:v>-6</c:v>
                </c:pt>
                <c:pt idx="215">
                  <c:v>-5</c:v>
                </c:pt>
                <c:pt idx="216">
                  <c:v>-4</c:v>
                </c:pt>
                <c:pt idx="217">
                  <c:v>-3</c:v>
                </c:pt>
                <c:pt idx="218">
                  <c:v>-2</c:v>
                </c:pt>
                <c:pt idx="219">
                  <c:v>-1</c:v>
                </c:pt>
                <c:pt idx="220">
                  <c:v>0</c:v>
                </c:pt>
                <c:pt idx="221">
                  <c:v>1</c:v>
                </c:pt>
                <c:pt idx="222">
                  <c:v>2</c:v>
                </c:pt>
                <c:pt idx="223">
                  <c:v>3</c:v>
                </c:pt>
                <c:pt idx="224">
                  <c:v>4</c:v>
                </c:pt>
                <c:pt idx="225">
                  <c:v>5</c:v>
                </c:pt>
                <c:pt idx="226">
                  <c:v>6</c:v>
                </c:pt>
                <c:pt idx="227">
                  <c:v>7</c:v>
                </c:pt>
                <c:pt idx="228">
                  <c:v>8</c:v>
                </c:pt>
                <c:pt idx="229">
                  <c:v>9</c:v>
                </c:pt>
                <c:pt idx="230">
                  <c:v>10</c:v>
                </c:pt>
                <c:pt idx="231">
                  <c:v>-10</c:v>
                </c:pt>
                <c:pt idx="232">
                  <c:v>-9</c:v>
                </c:pt>
                <c:pt idx="233">
                  <c:v>-8</c:v>
                </c:pt>
                <c:pt idx="234">
                  <c:v>-7</c:v>
                </c:pt>
                <c:pt idx="235">
                  <c:v>-6</c:v>
                </c:pt>
                <c:pt idx="236">
                  <c:v>-5</c:v>
                </c:pt>
                <c:pt idx="237">
                  <c:v>-4</c:v>
                </c:pt>
                <c:pt idx="238">
                  <c:v>-3</c:v>
                </c:pt>
                <c:pt idx="239">
                  <c:v>-2</c:v>
                </c:pt>
                <c:pt idx="240">
                  <c:v>-1</c:v>
                </c:pt>
                <c:pt idx="241">
                  <c:v>0</c:v>
                </c:pt>
                <c:pt idx="242">
                  <c:v>1</c:v>
                </c:pt>
                <c:pt idx="243">
                  <c:v>2</c:v>
                </c:pt>
                <c:pt idx="244">
                  <c:v>3</c:v>
                </c:pt>
                <c:pt idx="245">
                  <c:v>4</c:v>
                </c:pt>
                <c:pt idx="246">
                  <c:v>5</c:v>
                </c:pt>
                <c:pt idx="247">
                  <c:v>6</c:v>
                </c:pt>
                <c:pt idx="248">
                  <c:v>7</c:v>
                </c:pt>
                <c:pt idx="249">
                  <c:v>8</c:v>
                </c:pt>
                <c:pt idx="250">
                  <c:v>9</c:v>
                </c:pt>
                <c:pt idx="251">
                  <c:v>10</c:v>
                </c:pt>
                <c:pt idx="252">
                  <c:v>-10</c:v>
                </c:pt>
                <c:pt idx="253">
                  <c:v>-9</c:v>
                </c:pt>
                <c:pt idx="254">
                  <c:v>-8</c:v>
                </c:pt>
                <c:pt idx="255">
                  <c:v>-7</c:v>
                </c:pt>
                <c:pt idx="256">
                  <c:v>-6</c:v>
                </c:pt>
                <c:pt idx="257">
                  <c:v>-5</c:v>
                </c:pt>
                <c:pt idx="258">
                  <c:v>-4</c:v>
                </c:pt>
                <c:pt idx="259">
                  <c:v>-3</c:v>
                </c:pt>
                <c:pt idx="260">
                  <c:v>-2</c:v>
                </c:pt>
                <c:pt idx="261">
                  <c:v>-1</c:v>
                </c:pt>
                <c:pt idx="262">
                  <c:v>0</c:v>
                </c:pt>
                <c:pt idx="263">
                  <c:v>1</c:v>
                </c:pt>
                <c:pt idx="264">
                  <c:v>2</c:v>
                </c:pt>
                <c:pt idx="265">
                  <c:v>3</c:v>
                </c:pt>
                <c:pt idx="266">
                  <c:v>4</c:v>
                </c:pt>
                <c:pt idx="267">
                  <c:v>5</c:v>
                </c:pt>
                <c:pt idx="268">
                  <c:v>6</c:v>
                </c:pt>
                <c:pt idx="269">
                  <c:v>7</c:v>
                </c:pt>
                <c:pt idx="270">
                  <c:v>8</c:v>
                </c:pt>
                <c:pt idx="271">
                  <c:v>9</c:v>
                </c:pt>
                <c:pt idx="272">
                  <c:v>10</c:v>
                </c:pt>
                <c:pt idx="273">
                  <c:v>-10</c:v>
                </c:pt>
                <c:pt idx="274">
                  <c:v>-9</c:v>
                </c:pt>
                <c:pt idx="275">
                  <c:v>-8</c:v>
                </c:pt>
                <c:pt idx="276">
                  <c:v>-7</c:v>
                </c:pt>
                <c:pt idx="277">
                  <c:v>-6</c:v>
                </c:pt>
                <c:pt idx="278">
                  <c:v>-5</c:v>
                </c:pt>
                <c:pt idx="279">
                  <c:v>-4</c:v>
                </c:pt>
                <c:pt idx="280">
                  <c:v>-3</c:v>
                </c:pt>
                <c:pt idx="281">
                  <c:v>-2</c:v>
                </c:pt>
                <c:pt idx="282">
                  <c:v>-1</c:v>
                </c:pt>
                <c:pt idx="283">
                  <c:v>0</c:v>
                </c:pt>
                <c:pt idx="284">
                  <c:v>1</c:v>
                </c:pt>
                <c:pt idx="285">
                  <c:v>2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6</c:v>
                </c:pt>
                <c:pt idx="290">
                  <c:v>7</c:v>
                </c:pt>
                <c:pt idx="291">
                  <c:v>8</c:v>
                </c:pt>
                <c:pt idx="292">
                  <c:v>9</c:v>
                </c:pt>
                <c:pt idx="293">
                  <c:v>10</c:v>
                </c:pt>
                <c:pt idx="294">
                  <c:v>-10</c:v>
                </c:pt>
                <c:pt idx="295">
                  <c:v>-9</c:v>
                </c:pt>
                <c:pt idx="296">
                  <c:v>-8</c:v>
                </c:pt>
                <c:pt idx="297">
                  <c:v>-7</c:v>
                </c:pt>
                <c:pt idx="298">
                  <c:v>-6</c:v>
                </c:pt>
                <c:pt idx="299">
                  <c:v>-5</c:v>
                </c:pt>
                <c:pt idx="300">
                  <c:v>-4</c:v>
                </c:pt>
                <c:pt idx="301">
                  <c:v>-3</c:v>
                </c:pt>
                <c:pt idx="302">
                  <c:v>-2</c:v>
                </c:pt>
                <c:pt idx="303">
                  <c:v>-1</c:v>
                </c:pt>
                <c:pt idx="304">
                  <c:v>0</c:v>
                </c:pt>
                <c:pt idx="305">
                  <c:v>1</c:v>
                </c:pt>
                <c:pt idx="306">
                  <c:v>2</c:v>
                </c:pt>
                <c:pt idx="307">
                  <c:v>3</c:v>
                </c:pt>
                <c:pt idx="308">
                  <c:v>4</c:v>
                </c:pt>
                <c:pt idx="309">
                  <c:v>5</c:v>
                </c:pt>
                <c:pt idx="310">
                  <c:v>6</c:v>
                </c:pt>
                <c:pt idx="311">
                  <c:v>7</c:v>
                </c:pt>
                <c:pt idx="312">
                  <c:v>8</c:v>
                </c:pt>
                <c:pt idx="313">
                  <c:v>9</c:v>
                </c:pt>
                <c:pt idx="314">
                  <c:v>10</c:v>
                </c:pt>
                <c:pt idx="315">
                  <c:v>-10</c:v>
                </c:pt>
                <c:pt idx="316">
                  <c:v>-9</c:v>
                </c:pt>
                <c:pt idx="317">
                  <c:v>-8</c:v>
                </c:pt>
                <c:pt idx="318">
                  <c:v>-7</c:v>
                </c:pt>
                <c:pt idx="319">
                  <c:v>-6</c:v>
                </c:pt>
                <c:pt idx="320">
                  <c:v>-5</c:v>
                </c:pt>
                <c:pt idx="321">
                  <c:v>-4</c:v>
                </c:pt>
                <c:pt idx="322">
                  <c:v>-3</c:v>
                </c:pt>
                <c:pt idx="323">
                  <c:v>-2</c:v>
                </c:pt>
                <c:pt idx="324">
                  <c:v>-1</c:v>
                </c:pt>
                <c:pt idx="325">
                  <c:v>0</c:v>
                </c:pt>
                <c:pt idx="326">
                  <c:v>1</c:v>
                </c:pt>
                <c:pt idx="327">
                  <c:v>2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6</c:v>
                </c:pt>
                <c:pt idx="332">
                  <c:v>7</c:v>
                </c:pt>
                <c:pt idx="333">
                  <c:v>8</c:v>
                </c:pt>
                <c:pt idx="334">
                  <c:v>9</c:v>
                </c:pt>
                <c:pt idx="335">
                  <c:v>10</c:v>
                </c:pt>
                <c:pt idx="336">
                  <c:v>-10</c:v>
                </c:pt>
                <c:pt idx="337">
                  <c:v>-9</c:v>
                </c:pt>
                <c:pt idx="338">
                  <c:v>-8</c:v>
                </c:pt>
                <c:pt idx="339">
                  <c:v>-7</c:v>
                </c:pt>
                <c:pt idx="340">
                  <c:v>-6</c:v>
                </c:pt>
                <c:pt idx="341">
                  <c:v>-5</c:v>
                </c:pt>
                <c:pt idx="342">
                  <c:v>-4</c:v>
                </c:pt>
                <c:pt idx="343">
                  <c:v>-3</c:v>
                </c:pt>
                <c:pt idx="344">
                  <c:v>-2</c:v>
                </c:pt>
                <c:pt idx="345">
                  <c:v>-1</c:v>
                </c:pt>
                <c:pt idx="346">
                  <c:v>0</c:v>
                </c:pt>
                <c:pt idx="347">
                  <c:v>1</c:v>
                </c:pt>
                <c:pt idx="348">
                  <c:v>2</c:v>
                </c:pt>
                <c:pt idx="349">
                  <c:v>3</c:v>
                </c:pt>
                <c:pt idx="350">
                  <c:v>4</c:v>
                </c:pt>
                <c:pt idx="351">
                  <c:v>5</c:v>
                </c:pt>
                <c:pt idx="352">
                  <c:v>6</c:v>
                </c:pt>
                <c:pt idx="353">
                  <c:v>7</c:v>
                </c:pt>
                <c:pt idx="354">
                  <c:v>8</c:v>
                </c:pt>
                <c:pt idx="355">
                  <c:v>9</c:v>
                </c:pt>
                <c:pt idx="356">
                  <c:v>10</c:v>
                </c:pt>
                <c:pt idx="357">
                  <c:v>-10</c:v>
                </c:pt>
                <c:pt idx="358">
                  <c:v>-9</c:v>
                </c:pt>
                <c:pt idx="359">
                  <c:v>-8</c:v>
                </c:pt>
                <c:pt idx="360">
                  <c:v>-7</c:v>
                </c:pt>
                <c:pt idx="361">
                  <c:v>-6</c:v>
                </c:pt>
                <c:pt idx="362">
                  <c:v>-5</c:v>
                </c:pt>
                <c:pt idx="363">
                  <c:v>-4</c:v>
                </c:pt>
                <c:pt idx="364">
                  <c:v>-3</c:v>
                </c:pt>
                <c:pt idx="365">
                  <c:v>-2</c:v>
                </c:pt>
                <c:pt idx="366">
                  <c:v>-1</c:v>
                </c:pt>
                <c:pt idx="367">
                  <c:v>0</c:v>
                </c:pt>
                <c:pt idx="368">
                  <c:v>1</c:v>
                </c:pt>
                <c:pt idx="369">
                  <c:v>2</c:v>
                </c:pt>
                <c:pt idx="370">
                  <c:v>3</c:v>
                </c:pt>
                <c:pt idx="371">
                  <c:v>4</c:v>
                </c:pt>
                <c:pt idx="372">
                  <c:v>5</c:v>
                </c:pt>
                <c:pt idx="373">
                  <c:v>6</c:v>
                </c:pt>
                <c:pt idx="374">
                  <c:v>7</c:v>
                </c:pt>
                <c:pt idx="375">
                  <c:v>8</c:v>
                </c:pt>
                <c:pt idx="376">
                  <c:v>9</c:v>
                </c:pt>
                <c:pt idx="377">
                  <c:v>10</c:v>
                </c:pt>
                <c:pt idx="378">
                  <c:v>-10</c:v>
                </c:pt>
                <c:pt idx="379">
                  <c:v>-9</c:v>
                </c:pt>
                <c:pt idx="380">
                  <c:v>-8</c:v>
                </c:pt>
                <c:pt idx="381">
                  <c:v>-7</c:v>
                </c:pt>
                <c:pt idx="382">
                  <c:v>-6</c:v>
                </c:pt>
                <c:pt idx="383">
                  <c:v>-5</c:v>
                </c:pt>
                <c:pt idx="384">
                  <c:v>-4</c:v>
                </c:pt>
                <c:pt idx="385">
                  <c:v>-3</c:v>
                </c:pt>
                <c:pt idx="386">
                  <c:v>-2</c:v>
                </c:pt>
                <c:pt idx="387">
                  <c:v>-1</c:v>
                </c:pt>
                <c:pt idx="388">
                  <c:v>0</c:v>
                </c:pt>
                <c:pt idx="389">
                  <c:v>1</c:v>
                </c:pt>
                <c:pt idx="390">
                  <c:v>2</c:v>
                </c:pt>
                <c:pt idx="391">
                  <c:v>3</c:v>
                </c:pt>
                <c:pt idx="392">
                  <c:v>4</c:v>
                </c:pt>
                <c:pt idx="393">
                  <c:v>5</c:v>
                </c:pt>
                <c:pt idx="394">
                  <c:v>6</c:v>
                </c:pt>
                <c:pt idx="395">
                  <c:v>7</c:v>
                </c:pt>
                <c:pt idx="396">
                  <c:v>8</c:v>
                </c:pt>
                <c:pt idx="397">
                  <c:v>9</c:v>
                </c:pt>
                <c:pt idx="398">
                  <c:v>10</c:v>
                </c:pt>
                <c:pt idx="399">
                  <c:v>-10</c:v>
                </c:pt>
                <c:pt idx="400">
                  <c:v>-9</c:v>
                </c:pt>
                <c:pt idx="401">
                  <c:v>-8</c:v>
                </c:pt>
                <c:pt idx="402">
                  <c:v>-7</c:v>
                </c:pt>
                <c:pt idx="403">
                  <c:v>-6</c:v>
                </c:pt>
                <c:pt idx="404">
                  <c:v>-5</c:v>
                </c:pt>
                <c:pt idx="405">
                  <c:v>-4</c:v>
                </c:pt>
                <c:pt idx="406">
                  <c:v>-3</c:v>
                </c:pt>
                <c:pt idx="407">
                  <c:v>-2</c:v>
                </c:pt>
                <c:pt idx="408">
                  <c:v>-1</c:v>
                </c:pt>
                <c:pt idx="409">
                  <c:v>0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4</c:v>
                </c:pt>
                <c:pt idx="414">
                  <c:v>5</c:v>
                </c:pt>
                <c:pt idx="415">
                  <c:v>6</c:v>
                </c:pt>
                <c:pt idx="416">
                  <c:v>7</c:v>
                </c:pt>
                <c:pt idx="417">
                  <c:v>8</c:v>
                </c:pt>
                <c:pt idx="418">
                  <c:v>9</c:v>
                </c:pt>
                <c:pt idx="419">
                  <c:v>10</c:v>
                </c:pt>
                <c:pt idx="420">
                  <c:v>-10</c:v>
                </c:pt>
                <c:pt idx="421">
                  <c:v>-9</c:v>
                </c:pt>
                <c:pt idx="422">
                  <c:v>-8</c:v>
                </c:pt>
                <c:pt idx="423">
                  <c:v>-7</c:v>
                </c:pt>
                <c:pt idx="424">
                  <c:v>-6</c:v>
                </c:pt>
                <c:pt idx="425">
                  <c:v>-5</c:v>
                </c:pt>
                <c:pt idx="426">
                  <c:v>-4</c:v>
                </c:pt>
                <c:pt idx="427">
                  <c:v>-3</c:v>
                </c:pt>
                <c:pt idx="428">
                  <c:v>-2</c:v>
                </c:pt>
                <c:pt idx="429">
                  <c:v>-1</c:v>
                </c:pt>
                <c:pt idx="430">
                  <c:v>0</c:v>
                </c:pt>
                <c:pt idx="431">
                  <c:v>1</c:v>
                </c:pt>
                <c:pt idx="432">
                  <c:v>2</c:v>
                </c:pt>
                <c:pt idx="433">
                  <c:v>3</c:v>
                </c:pt>
                <c:pt idx="434">
                  <c:v>4</c:v>
                </c:pt>
                <c:pt idx="435">
                  <c:v>5</c:v>
                </c:pt>
                <c:pt idx="436">
                  <c:v>6</c:v>
                </c:pt>
                <c:pt idx="437">
                  <c:v>7</c:v>
                </c:pt>
                <c:pt idx="438">
                  <c:v>8</c:v>
                </c:pt>
                <c:pt idx="439">
                  <c:v>9</c:v>
                </c:pt>
                <c:pt idx="440">
                  <c:v>10</c:v>
                </c:pt>
              </c:numCache>
            </c:numRef>
          </c:xVal>
          <c:yVal>
            <c:numRef>
              <c:f>Paths!$AA$1:$AA$441</c:f>
              <c:numCache>
                <c:formatCode>General</c:formatCode>
                <c:ptCount val="44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-9</c:v>
                </c:pt>
                <c:pt idx="22">
                  <c:v>-9</c:v>
                </c:pt>
                <c:pt idx="23">
                  <c:v>-9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  <c:pt idx="28">
                  <c:v>-9</c:v>
                </c:pt>
                <c:pt idx="29">
                  <c:v>-9</c:v>
                </c:pt>
                <c:pt idx="30">
                  <c:v>-9</c:v>
                </c:pt>
                <c:pt idx="31">
                  <c:v>-9</c:v>
                </c:pt>
                <c:pt idx="32">
                  <c:v>-9</c:v>
                </c:pt>
                <c:pt idx="33">
                  <c:v>-9</c:v>
                </c:pt>
                <c:pt idx="34">
                  <c:v>-9</c:v>
                </c:pt>
                <c:pt idx="35">
                  <c:v>-9</c:v>
                </c:pt>
                <c:pt idx="36">
                  <c:v>-9</c:v>
                </c:pt>
                <c:pt idx="37">
                  <c:v>-9</c:v>
                </c:pt>
                <c:pt idx="38">
                  <c:v>-9</c:v>
                </c:pt>
                <c:pt idx="39">
                  <c:v>-9</c:v>
                </c:pt>
                <c:pt idx="40">
                  <c:v>-9</c:v>
                </c:pt>
                <c:pt idx="41">
                  <c:v>-9</c:v>
                </c:pt>
                <c:pt idx="42">
                  <c:v>-8</c:v>
                </c:pt>
                <c:pt idx="43">
                  <c:v>-8</c:v>
                </c:pt>
                <c:pt idx="44">
                  <c:v>-8</c:v>
                </c:pt>
                <c:pt idx="45">
                  <c:v>-8</c:v>
                </c:pt>
                <c:pt idx="46">
                  <c:v>-8</c:v>
                </c:pt>
                <c:pt idx="47">
                  <c:v>-8</c:v>
                </c:pt>
                <c:pt idx="48">
                  <c:v>-8</c:v>
                </c:pt>
                <c:pt idx="49">
                  <c:v>-8</c:v>
                </c:pt>
                <c:pt idx="50">
                  <c:v>-8</c:v>
                </c:pt>
                <c:pt idx="51">
                  <c:v>-8</c:v>
                </c:pt>
                <c:pt idx="52">
                  <c:v>-8</c:v>
                </c:pt>
                <c:pt idx="53">
                  <c:v>-8</c:v>
                </c:pt>
                <c:pt idx="54">
                  <c:v>-8</c:v>
                </c:pt>
                <c:pt idx="55">
                  <c:v>-8</c:v>
                </c:pt>
                <c:pt idx="56">
                  <c:v>-8</c:v>
                </c:pt>
                <c:pt idx="57">
                  <c:v>-8</c:v>
                </c:pt>
                <c:pt idx="58">
                  <c:v>-8</c:v>
                </c:pt>
                <c:pt idx="59">
                  <c:v>-8</c:v>
                </c:pt>
                <c:pt idx="60">
                  <c:v>-8</c:v>
                </c:pt>
                <c:pt idx="61">
                  <c:v>-8</c:v>
                </c:pt>
                <c:pt idx="62">
                  <c:v>-8</c:v>
                </c:pt>
                <c:pt idx="63">
                  <c:v>-7</c:v>
                </c:pt>
                <c:pt idx="64">
                  <c:v>-7</c:v>
                </c:pt>
                <c:pt idx="65">
                  <c:v>-7</c:v>
                </c:pt>
                <c:pt idx="66">
                  <c:v>-7</c:v>
                </c:pt>
                <c:pt idx="67">
                  <c:v>-7</c:v>
                </c:pt>
                <c:pt idx="68">
                  <c:v>-7</c:v>
                </c:pt>
                <c:pt idx="69">
                  <c:v>-7</c:v>
                </c:pt>
                <c:pt idx="70">
                  <c:v>-7</c:v>
                </c:pt>
                <c:pt idx="71">
                  <c:v>-7</c:v>
                </c:pt>
                <c:pt idx="72">
                  <c:v>-7</c:v>
                </c:pt>
                <c:pt idx="73">
                  <c:v>-7</c:v>
                </c:pt>
                <c:pt idx="74">
                  <c:v>-7</c:v>
                </c:pt>
                <c:pt idx="75">
                  <c:v>-7</c:v>
                </c:pt>
                <c:pt idx="76">
                  <c:v>-7</c:v>
                </c:pt>
                <c:pt idx="77">
                  <c:v>-7</c:v>
                </c:pt>
                <c:pt idx="78">
                  <c:v>-7</c:v>
                </c:pt>
                <c:pt idx="79">
                  <c:v>-7</c:v>
                </c:pt>
                <c:pt idx="80">
                  <c:v>-7</c:v>
                </c:pt>
                <c:pt idx="81">
                  <c:v>-7</c:v>
                </c:pt>
                <c:pt idx="82">
                  <c:v>-7</c:v>
                </c:pt>
                <c:pt idx="83">
                  <c:v>-7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-4</c:v>
                </c:pt>
                <c:pt idx="127">
                  <c:v>-4</c:v>
                </c:pt>
                <c:pt idx="128">
                  <c:v>-4</c:v>
                </c:pt>
                <c:pt idx="129">
                  <c:v>-4</c:v>
                </c:pt>
                <c:pt idx="130">
                  <c:v>-4</c:v>
                </c:pt>
                <c:pt idx="131">
                  <c:v>-4</c:v>
                </c:pt>
                <c:pt idx="132">
                  <c:v>-4</c:v>
                </c:pt>
                <c:pt idx="133">
                  <c:v>-4</c:v>
                </c:pt>
                <c:pt idx="134">
                  <c:v>-4</c:v>
                </c:pt>
                <c:pt idx="135">
                  <c:v>-4</c:v>
                </c:pt>
                <c:pt idx="136">
                  <c:v>-4</c:v>
                </c:pt>
                <c:pt idx="137">
                  <c:v>-4</c:v>
                </c:pt>
                <c:pt idx="138">
                  <c:v>-4</c:v>
                </c:pt>
                <c:pt idx="139">
                  <c:v>-4</c:v>
                </c:pt>
                <c:pt idx="140">
                  <c:v>-4</c:v>
                </c:pt>
                <c:pt idx="141">
                  <c:v>-4</c:v>
                </c:pt>
                <c:pt idx="142">
                  <c:v>-4</c:v>
                </c:pt>
                <c:pt idx="143">
                  <c:v>-4</c:v>
                </c:pt>
                <c:pt idx="144">
                  <c:v>-4</c:v>
                </c:pt>
                <c:pt idx="145">
                  <c:v>-4</c:v>
                </c:pt>
                <c:pt idx="146">
                  <c:v>-4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</c:v>
                </c:pt>
                <c:pt idx="155">
                  <c:v>-3</c:v>
                </c:pt>
                <c:pt idx="156">
                  <c:v>-3</c:v>
                </c:pt>
                <c:pt idx="157">
                  <c:v>-3</c:v>
                </c:pt>
                <c:pt idx="158">
                  <c:v>-3</c:v>
                </c:pt>
                <c:pt idx="159">
                  <c:v>-3</c:v>
                </c:pt>
                <c:pt idx="160">
                  <c:v>-3</c:v>
                </c:pt>
                <c:pt idx="161">
                  <c:v>-3</c:v>
                </c:pt>
                <c:pt idx="162">
                  <c:v>-3</c:v>
                </c:pt>
                <c:pt idx="163">
                  <c:v>-3</c:v>
                </c:pt>
                <c:pt idx="164">
                  <c:v>-3</c:v>
                </c:pt>
                <c:pt idx="165">
                  <c:v>-3</c:v>
                </c:pt>
                <c:pt idx="166">
                  <c:v>-3</c:v>
                </c:pt>
                <c:pt idx="167">
                  <c:v>-3</c:v>
                </c:pt>
                <c:pt idx="168">
                  <c:v>-2</c:v>
                </c:pt>
                <c:pt idx="169">
                  <c:v>-2</c:v>
                </c:pt>
                <c:pt idx="170">
                  <c:v>-2</c:v>
                </c:pt>
                <c:pt idx="171">
                  <c:v>-2</c:v>
                </c:pt>
                <c:pt idx="172">
                  <c:v>-2</c:v>
                </c:pt>
                <c:pt idx="173">
                  <c:v>-2</c:v>
                </c:pt>
                <c:pt idx="174">
                  <c:v>-2</c:v>
                </c:pt>
                <c:pt idx="175">
                  <c:v>-2</c:v>
                </c:pt>
                <c:pt idx="176">
                  <c:v>-2</c:v>
                </c:pt>
                <c:pt idx="177">
                  <c:v>-2</c:v>
                </c:pt>
                <c:pt idx="178">
                  <c:v>-2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6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9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Paths!$AC$1:$AC$441</c15:f>
                <c15:dlblRangeCache>
                  <c:ptCount val="441"/>
                  <c:pt idx="0">
                    <c:v>-10, -10</c:v>
                  </c:pt>
                  <c:pt idx="1">
                    <c:v>-9, -10</c:v>
                  </c:pt>
                  <c:pt idx="2">
                    <c:v>-8, -10</c:v>
                  </c:pt>
                  <c:pt idx="3">
                    <c:v>-7, -10</c:v>
                  </c:pt>
                  <c:pt idx="4">
                    <c:v>-6, -10</c:v>
                  </c:pt>
                  <c:pt idx="5">
                    <c:v>-5, -10</c:v>
                  </c:pt>
                  <c:pt idx="6">
                    <c:v>-4, -10</c:v>
                  </c:pt>
                  <c:pt idx="7">
                    <c:v>-3, -10</c:v>
                  </c:pt>
                  <c:pt idx="8">
                    <c:v>-2, -10</c:v>
                  </c:pt>
                  <c:pt idx="9">
                    <c:v>-1, -10</c:v>
                  </c:pt>
                  <c:pt idx="10">
                    <c:v>0, -10</c:v>
                  </c:pt>
                  <c:pt idx="11">
                    <c:v>1, -10</c:v>
                  </c:pt>
                  <c:pt idx="12">
                    <c:v>2, -10</c:v>
                  </c:pt>
                  <c:pt idx="13">
                    <c:v>3, -10</c:v>
                  </c:pt>
                  <c:pt idx="14">
                    <c:v>4, -10</c:v>
                  </c:pt>
                  <c:pt idx="15">
                    <c:v>5, -10</c:v>
                  </c:pt>
                  <c:pt idx="16">
                    <c:v>6, -10</c:v>
                  </c:pt>
                  <c:pt idx="17">
                    <c:v>7, -10</c:v>
                  </c:pt>
                  <c:pt idx="18">
                    <c:v>8, -10</c:v>
                  </c:pt>
                  <c:pt idx="19">
                    <c:v>9, -10</c:v>
                  </c:pt>
                  <c:pt idx="20">
                    <c:v>10, -10</c:v>
                  </c:pt>
                  <c:pt idx="21">
                    <c:v>-10, -9</c:v>
                  </c:pt>
                  <c:pt idx="22">
                    <c:v>-9, -9</c:v>
                  </c:pt>
                  <c:pt idx="23">
                    <c:v>-8, -9</c:v>
                  </c:pt>
                  <c:pt idx="24">
                    <c:v>-7, -9</c:v>
                  </c:pt>
                  <c:pt idx="25">
                    <c:v>-6, -9</c:v>
                  </c:pt>
                  <c:pt idx="26">
                    <c:v>-5, -9</c:v>
                  </c:pt>
                  <c:pt idx="27">
                    <c:v>-4, -9</c:v>
                  </c:pt>
                  <c:pt idx="28">
                    <c:v>-3, -9</c:v>
                  </c:pt>
                  <c:pt idx="29">
                    <c:v>-2, -9</c:v>
                  </c:pt>
                  <c:pt idx="30">
                    <c:v>-1, -9</c:v>
                  </c:pt>
                  <c:pt idx="31">
                    <c:v>0, -9</c:v>
                  </c:pt>
                  <c:pt idx="32">
                    <c:v>1, -9</c:v>
                  </c:pt>
                  <c:pt idx="33">
                    <c:v>2, -9</c:v>
                  </c:pt>
                  <c:pt idx="34">
                    <c:v>3, -9</c:v>
                  </c:pt>
                  <c:pt idx="35">
                    <c:v>4, -9</c:v>
                  </c:pt>
                  <c:pt idx="36">
                    <c:v>5, -9</c:v>
                  </c:pt>
                  <c:pt idx="37">
                    <c:v>6, -9</c:v>
                  </c:pt>
                  <c:pt idx="38">
                    <c:v>7, -9</c:v>
                  </c:pt>
                  <c:pt idx="39">
                    <c:v>8, -9</c:v>
                  </c:pt>
                  <c:pt idx="40">
                    <c:v>9, -9</c:v>
                  </c:pt>
                  <c:pt idx="41">
                    <c:v>10, -9</c:v>
                  </c:pt>
                  <c:pt idx="42">
                    <c:v>-10, -8</c:v>
                  </c:pt>
                  <c:pt idx="43">
                    <c:v>-9, -8</c:v>
                  </c:pt>
                  <c:pt idx="44">
                    <c:v>-8, -8</c:v>
                  </c:pt>
                  <c:pt idx="45">
                    <c:v>-7, -8</c:v>
                  </c:pt>
                  <c:pt idx="46">
                    <c:v>-6, -8</c:v>
                  </c:pt>
                  <c:pt idx="47">
                    <c:v>-5, -8</c:v>
                  </c:pt>
                  <c:pt idx="48">
                    <c:v>-4, -8</c:v>
                  </c:pt>
                  <c:pt idx="49">
                    <c:v>-3, -8</c:v>
                  </c:pt>
                  <c:pt idx="50">
                    <c:v>-2, -8</c:v>
                  </c:pt>
                  <c:pt idx="51">
                    <c:v>-1, -8</c:v>
                  </c:pt>
                  <c:pt idx="52">
                    <c:v>0, -8</c:v>
                  </c:pt>
                  <c:pt idx="53">
                    <c:v>1, -8</c:v>
                  </c:pt>
                  <c:pt idx="54">
                    <c:v>2, -8</c:v>
                  </c:pt>
                  <c:pt idx="55">
                    <c:v>3, -8</c:v>
                  </c:pt>
                  <c:pt idx="56">
                    <c:v>4, -8</c:v>
                  </c:pt>
                  <c:pt idx="57">
                    <c:v>5, -8</c:v>
                  </c:pt>
                  <c:pt idx="58">
                    <c:v>6, -8</c:v>
                  </c:pt>
                  <c:pt idx="59">
                    <c:v>7, -8</c:v>
                  </c:pt>
                  <c:pt idx="60">
                    <c:v>8, -8</c:v>
                  </c:pt>
                  <c:pt idx="61">
                    <c:v>9, -8</c:v>
                  </c:pt>
                  <c:pt idx="62">
                    <c:v>10, -8</c:v>
                  </c:pt>
                  <c:pt idx="63">
                    <c:v>-10, -7</c:v>
                  </c:pt>
                  <c:pt idx="64">
                    <c:v>-9, -7</c:v>
                  </c:pt>
                  <c:pt idx="65">
                    <c:v>-8, -7</c:v>
                  </c:pt>
                  <c:pt idx="66">
                    <c:v>-7, -7</c:v>
                  </c:pt>
                  <c:pt idx="67">
                    <c:v>-6, -7</c:v>
                  </c:pt>
                  <c:pt idx="68">
                    <c:v>-5, -7</c:v>
                  </c:pt>
                  <c:pt idx="69">
                    <c:v>-4, -7</c:v>
                  </c:pt>
                  <c:pt idx="70">
                    <c:v>-3, -7</c:v>
                  </c:pt>
                  <c:pt idx="71">
                    <c:v>-2, -7</c:v>
                  </c:pt>
                  <c:pt idx="72">
                    <c:v>-1, -7</c:v>
                  </c:pt>
                  <c:pt idx="73">
                    <c:v>0, -7</c:v>
                  </c:pt>
                  <c:pt idx="74">
                    <c:v>1, -7</c:v>
                  </c:pt>
                  <c:pt idx="75">
                    <c:v>2, -7</c:v>
                  </c:pt>
                  <c:pt idx="76">
                    <c:v>3, -7</c:v>
                  </c:pt>
                  <c:pt idx="77">
                    <c:v>4, -7</c:v>
                  </c:pt>
                  <c:pt idx="78">
                    <c:v>5, -7</c:v>
                  </c:pt>
                  <c:pt idx="79">
                    <c:v>6, -7</c:v>
                  </c:pt>
                  <c:pt idx="80">
                    <c:v>7, -7</c:v>
                  </c:pt>
                  <c:pt idx="81">
                    <c:v>8, -7</c:v>
                  </c:pt>
                  <c:pt idx="82">
                    <c:v>9, -7</c:v>
                  </c:pt>
                  <c:pt idx="83">
                    <c:v>10, -7</c:v>
                  </c:pt>
                  <c:pt idx="84">
                    <c:v>-10, -6</c:v>
                  </c:pt>
                  <c:pt idx="85">
                    <c:v>-9, -6</c:v>
                  </c:pt>
                  <c:pt idx="86">
                    <c:v>-8, -6</c:v>
                  </c:pt>
                  <c:pt idx="87">
                    <c:v>-7, -6</c:v>
                  </c:pt>
                  <c:pt idx="88">
                    <c:v>-6, -6</c:v>
                  </c:pt>
                  <c:pt idx="89">
                    <c:v>-5, -6</c:v>
                  </c:pt>
                  <c:pt idx="90">
                    <c:v>-4, -6</c:v>
                  </c:pt>
                  <c:pt idx="91">
                    <c:v>-3, -6</c:v>
                  </c:pt>
                  <c:pt idx="92">
                    <c:v>-2, -6</c:v>
                  </c:pt>
                  <c:pt idx="93">
                    <c:v>-1, -6</c:v>
                  </c:pt>
                  <c:pt idx="94">
                    <c:v>0, -6</c:v>
                  </c:pt>
                  <c:pt idx="95">
                    <c:v>1, -6</c:v>
                  </c:pt>
                  <c:pt idx="96">
                    <c:v>2, -6</c:v>
                  </c:pt>
                  <c:pt idx="97">
                    <c:v>3, -6</c:v>
                  </c:pt>
                  <c:pt idx="98">
                    <c:v>4, -6</c:v>
                  </c:pt>
                  <c:pt idx="99">
                    <c:v>5, -6</c:v>
                  </c:pt>
                  <c:pt idx="100">
                    <c:v>6, -6</c:v>
                  </c:pt>
                  <c:pt idx="101">
                    <c:v>7, -6</c:v>
                  </c:pt>
                  <c:pt idx="102">
                    <c:v>8, -6</c:v>
                  </c:pt>
                  <c:pt idx="103">
                    <c:v>9, -6</c:v>
                  </c:pt>
                  <c:pt idx="104">
                    <c:v>10, -6</c:v>
                  </c:pt>
                  <c:pt idx="105">
                    <c:v>-10, -5</c:v>
                  </c:pt>
                  <c:pt idx="106">
                    <c:v>-9, -5</c:v>
                  </c:pt>
                  <c:pt idx="107">
                    <c:v>-8, -5</c:v>
                  </c:pt>
                  <c:pt idx="108">
                    <c:v>-7, -5</c:v>
                  </c:pt>
                  <c:pt idx="109">
                    <c:v>-6, -5</c:v>
                  </c:pt>
                  <c:pt idx="110">
                    <c:v>-5, -5</c:v>
                  </c:pt>
                  <c:pt idx="111">
                    <c:v>-4, -5</c:v>
                  </c:pt>
                  <c:pt idx="112">
                    <c:v>-3, -5</c:v>
                  </c:pt>
                  <c:pt idx="113">
                    <c:v>-2, -5</c:v>
                  </c:pt>
                  <c:pt idx="114">
                    <c:v>-1, -5</c:v>
                  </c:pt>
                  <c:pt idx="115">
                    <c:v>0, -5</c:v>
                  </c:pt>
                  <c:pt idx="116">
                    <c:v>1, -5</c:v>
                  </c:pt>
                  <c:pt idx="117">
                    <c:v>2, -5</c:v>
                  </c:pt>
                  <c:pt idx="118">
                    <c:v>3, -5</c:v>
                  </c:pt>
                  <c:pt idx="119">
                    <c:v>4, -5</c:v>
                  </c:pt>
                  <c:pt idx="120">
                    <c:v>5, -5</c:v>
                  </c:pt>
                  <c:pt idx="121">
                    <c:v>6, -5</c:v>
                  </c:pt>
                  <c:pt idx="122">
                    <c:v>7, -5</c:v>
                  </c:pt>
                  <c:pt idx="123">
                    <c:v>8, -5</c:v>
                  </c:pt>
                  <c:pt idx="124">
                    <c:v>9, -5</c:v>
                  </c:pt>
                  <c:pt idx="125">
                    <c:v>10, -5</c:v>
                  </c:pt>
                  <c:pt idx="126">
                    <c:v>-10, -4</c:v>
                  </c:pt>
                  <c:pt idx="127">
                    <c:v>-9, -4</c:v>
                  </c:pt>
                  <c:pt idx="128">
                    <c:v>-8, -4</c:v>
                  </c:pt>
                  <c:pt idx="129">
                    <c:v>-7, -4</c:v>
                  </c:pt>
                  <c:pt idx="130">
                    <c:v>-6, -4</c:v>
                  </c:pt>
                  <c:pt idx="131">
                    <c:v>-5, -4</c:v>
                  </c:pt>
                  <c:pt idx="132">
                    <c:v>-4, -4</c:v>
                  </c:pt>
                  <c:pt idx="133">
                    <c:v>-3, -4</c:v>
                  </c:pt>
                  <c:pt idx="134">
                    <c:v>-2, -4</c:v>
                  </c:pt>
                  <c:pt idx="135">
                    <c:v>-1, -4</c:v>
                  </c:pt>
                  <c:pt idx="136">
                    <c:v>0, -4</c:v>
                  </c:pt>
                  <c:pt idx="137">
                    <c:v>1, -4</c:v>
                  </c:pt>
                  <c:pt idx="138">
                    <c:v>2, -4</c:v>
                  </c:pt>
                  <c:pt idx="139">
                    <c:v>3, -4</c:v>
                  </c:pt>
                  <c:pt idx="140">
                    <c:v>4, -4</c:v>
                  </c:pt>
                  <c:pt idx="141">
                    <c:v>5, -4</c:v>
                  </c:pt>
                  <c:pt idx="142">
                    <c:v>6, -4</c:v>
                  </c:pt>
                  <c:pt idx="143">
                    <c:v>7, -4</c:v>
                  </c:pt>
                  <c:pt idx="144">
                    <c:v>8, -4</c:v>
                  </c:pt>
                  <c:pt idx="145">
                    <c:v>9, -4</c:v>
                  </c:pt>
                  <c:pt idx="146">
                    <c:v>10, -4</c:v>
                  </c:pt>
                  <c:pt idx="147">
                    <c:v>-10, -3</c:v>
                  </c:pt>
                  <c:pt idx="148">
                    <c:v>-9, -3</c:v>
                  </c:pt>
                  <c:pt idx="149">
                    <c:v>-8, -3</c:v>
                  </c:pt>
                  <c:pt idx="150">
                    <c:v>-7, -3</c:v>
                  </c:pt>
                  <c:pt idx="151">
                    <c:v>-6, -3</c:v>
                  </c:pt>
                  <c:pt idx="152">
                    <c:v>-5, -3</c:v>
                  </c:pt>
                  <c:pt idx="153">
                    <c:v>-4, -3</c:v>
                  </c:pt>
                  <c:pt idx="154">
                    <c:v>-3, -3</c:v>
                  </c:pt>
                  <c:pt idx="155">
                    <c:v>-2, -3</c:v>
                  </c:pt>
                  <c:pt idx="156">
                    <c:v>-1, -3</c:v>
                  </c:pt>
                  <c:pt idx="157">
                    <c:v>0, -3</c:v>
                  </c:pt>
                  <c:pt idx="158">
                    <c:v>1, -3</c:v>
                  </c:pt>
                  <c:pt idx="159">
                    <c:v>2, -3</c:v>
                  </c:pt>
                  <c:pt idx="160">
                    <c:v>3, -3</c:v>
                  </c:pt>
                  <c:pt idx="161">
                    <c:v>4, -3</c:v>
                  </c:pt>
                  <c:pt idx="162">
                    <c:v>5, -3</c:v>
                  </c:pt>
                  <c:pt idx="163">
                    <c:v>6, -3</c:v>
                  </c:pt>
                  <c:pt idx="164">
                    <c:v>7, -3</c:v>
                  </c:pt>
                  <c:pt idx="165">
                    <c:v>8, -3</c:v>
                  </c:pt>
                  <c:pt idx="166">
                    <c:v>9, -3</c:v>
                  </c:pt>
                  <c:pt idx="167">
                    <c:v>10, -3</c:v>
                  </c:pt>
                  <c:pt idx="168">
                    <c:v>-10, -2</c:v>
                  </c:pt>
                  <c:pt idx="169">
                    <c:v>-9, -2</c:v>
                  </c:pt>
                  <c:pt idx="170">
                    <c:v>-8, -2</c:v>
                  </c:pt>
                  <c:pt idx="171">
                    <c:v>-7, -2</c:v>
                  </c:pt>
                  <c:pt idx="172">
                    <c:v>-6, -2</c:v>
                  </c:pt>
                  <c:pt idx="173">
                    <c:v>-5, -2</c:v>
                  </c:pt>
                  <c:pt idx="174">
                    <c:v>-4, -2</c:v>
                  </c:pt>
                  <c:pt idx="175">
                    <c:v>-3, -2</c:v>
                  </c:pt>
                  <c:pt idx="176">
                    <c:v>-2, -2</c:v>
                  </c:pt>
                  <c:pt idx="177">
                    <c:v>-1, -2</c:v>
                  </c:pt>
                  <c:pt idx="178">
                    <c:v>0, -2</c:v>
                  </c:pt>
                  <c:pt idx="179">
                    <c:v>1, -2</c:v>
                  </c:pt>
                  <c:pt idx="180">
                    <c:v>2, -2</c:v>
                  </c:pt>
                  <c:pt idx="181">
                    <c:v>3, -2</c:v>
                  </c:pt>
                  <c:pt idx="182">
                    <c:v>4, -2</c:v>
                  </c:pt>
                  <c:pt idx="183">
                    <c:v>5, -2</c:v>
                  </c:pt>
                  <c:pt idx="184">
                    <c:v>6, -2</c:v>
                  </c:pt>
                  <c:pt idx="185">
                    <c:v>7, -2</c:v>
                  </c:pt>
                  <c:pt idx="186">
                    <c:v>8, -2</c:v>
                  </c:pt>
                  <c:pt idx="187">
                    <c:v>9, -2</c:v>
                  </c:pt>
                  <c:pt idx="188">
                    <c:v>10, -2</c:v>
                  </c:pt>
                  <c:pt idx="189">
                    <c:v>-10, -1</c:v>
                  </c:pt>
                  <c:pt idx="190">
                    <c:v>-9, -1</c:v>
                  </c:pt>
                  <c:pt idx="191">
                    <c:v>-8, -1</c:v>
                  </c:pt>
                  <c:pt idx="192">
                    <c:v>-7, -1</c:v>
                  </c:pt>
                  <c:pt idx="193">
                    <c:v>-6, -1</c:v>
                  </c:pt>
                  <c:pt idx="194">
                    <c:v>-5, -1</c:v>
                  </c:pt>
                  <c:pt idx="195">
                    <c:v>-4, -1</c:v>
                  </c:pt>
                  <c:pt idx="196">
                    <c:v>-3, -1</c:v>
                  </c:pt>
                  <c:pt idx="197">
                    <c:v>-2, -1</c:v>
                  </c:pt>
                  <c:pt idx="198">
                    <c:v>-1, -1</c:v>
                  </c:pt>
                  <c:pt idx="199">
                    <c:v>0, -1</c:v>
                  </c:pt>
                  <c:pt idx="200">
                    <c:v>1, -1</c:v>
                  </c:pt>
                  <c:pt idx="201">
                    <c:v>2, -1</c:v>
                  </c:pt>
                  <c:pt idx="202">
                    <c:v>3, -1</c:v>
                  </c:pt>
                  <c:pt idx="203">
                    <c:v>4, -1</c:v>
                  </c:pt>
                  <c:pt idx="204">
                    <c:v>5, -1</c:v>
                  </c:pt>
                  <c:pt idx="205">
                    <c:v>6, -1</c:v>
                  </c:pt>
                  <c:pt idx="206">
                    <c:v>7, -1</c:v>
                  </c:pt>
                  <c:pt idx="207">
                    <c:v>8, -1</c:v>
                  </c:pt>
                  <c:pt idx="208">
                    <c:v>9, -1</c:v>
                  </c:pt>
                  <c:pt idx="209">
                    <c:v>10, -1</c:v>
                  </c:pt>
                  <c:pt idx="210">
                    <c:v>-10, 0</c:v>
                  </c:pt>
                  <c:pt idx="211">
                    <c:v>-9, 0</c:v>
                  </c:pt>
                  <c:pt idx="212">
                    <c:v>-8, 0</c:v>
                  </c:pt>
                  <c:pt idx="213">
                    <c:v>-7, 0</c:v>
                  </c:pt>
                  <c:pt idx="214">
                    <c:v>-6, 0</c:v>
                  </c:pt>
                  <c:pt idx="215">
                    <c:v>-5, 0</c:v>
                  </c:pt>
                  <c:pt idx="216">
                    <c:v>-4, 0</c:v>
                  </c:pt>
                  <c:pt idx="217">
                    <c:v>-3, 0</c:v>
                  </c:pt>
                  <c:pt idx="218">
                    <c:v>-2, 0</c:v>
                  </c:pt>
                  <c:pt idx="219">
                    <c:v>-1, 0</c:v>
                  </c:pt>
                  <c:pt idx="220">
                    <c:v>0, 0</c:v>
                  </c:pt>
                  <c:pt idx="221">
                    <c:v>1, 0</c:v>
                  </c:pt>
                  <c:pt idx="222">
                    <c:v>2, 0</c:v>
                  </c:pt>
                  <c:pt idx="223">
                    <c:v>3, 0</c:v>
                  </c:pt>
                  <c:pt idx="224">
                    <c:v>4, 0</c:v>
                  </c:pt>
                  <c:pt idx="225">
                    <c:v>5, 0</c:v>
                  </c:pt>
                  <c:pt idx="226">
                    <c:v>6, 0</c:v>
                  </c:pt>
                  <c:pt idx="227">
                    <c:v>7, 0</c:v>
                  </c:pt>
                  <c:pt idx="228">
                    <c:v>8, 0</c:v>
                  </c:pt>
                  <c:pt idx="229">
                    <c:v>9, 0</c:v>
                  </c:pt>
                  <c:pt idx="230">
                    <c:v>10, 0</c:v>
                  </c:pt>
                  <c:pt idx="231">
                    <c:v>-10, 1</c:v>
                  </c:pt>
                  <c:pt idx="232">
                    <c:v>-9, 1</c:v>
                  </c:pt>
                  <c:pt idx="233">
                    <c:v>-8, 1</c:v>
                  </c:pt>
                  <c:pt idx="234">
                    <c:v>-7, 1</c:v>
                  </c:pt>
                  <c:pt idx="235">
                    <c:v>-6, 1</c:v>
                  </c:pt>
                  <c:pt idx="236">
                    <c:v>-5, 1</c:v>
                  </c:pt>
                  <c:pt idx="237">
                    <c:v>-4, 1</c:v>
                  </c:pt>
                  <c:pt idx="238">
                    <c:v>-3, 1</c:v>
                  </c:pt>
                  <c:pt idx="239">
                    <c:v>-2, 1</c:v>
                  </c:pt>
                  <c:pt idx="240">
                    <c:v>-1, 1</c:v>
                  </c:pt>
                  <c:pt idx="241">
                    <c:v>0, 1</c:v>
                  </c:pt>
                  <c:pt idx="242">
                    <c:v>1, 1</c:v>
                  </c:pt>
                  <c:pt idx="243">
                    <c:v>2, 1</c:v>
                  </c:pt>
                  <c:pt idx="244">
                    <c:v>3, 1</c:v>
                  </c:pt>
                  <c:pt idx="245">
                    <c:v>4, 1</c:v>
                  </c:pt>
                  <c:pt idx="246">
                    <c:v>5, 1</c:v>
                  </c:pt>
                  <c:pt idx="247">
                    <c:v>6, 1</c:v>
                  </c:pt>
                  <c:pt idx="248">
                    <c:v>7, 1</c:v>
                  </c:pt>
                  <c:pt idx="249">
                    <c:v>8, 1</c:v>
                  </c:pt>
                  <c:pt idx="250">
                    <c:v>9, 1</c:v>
                  </c:pt>
                  <c:pt idx="251">
                    <c:v>10, 1</c:v>
                  </c:pt>
                  <c:pt idx="252">
                    <c:v>-10, 2</c:v>
                  </c:pt>
                  <c:pt idx="253">
                    <c:v>-9, 2</c:v>
                  </c:pt>
                  <c:pt idx="254">
                    <c:v>-8, 2</c:v>
                  </c:pt>
                  <c:pt idx="255">
                    <c:v>-7, 2</c:v>
                  </c:pt>
                  <c:pt idx="256">
                    <c:v>-6, 2</c:v>
                  </c:pt>
                  <c:pt idx="257">
                    <c:v>-5, 2</c:v>
                  </c:pt>
                  <c:pt idx="258">
                    <c:v>-4, 2</c:v>
                  </c:pt>
                  <c:pt idx="259">
                    <c:v>-3, 2</c:v>
                  </c:pt>
                  <c:pt idx="260">
                    <c:v>-2, 2</c:v>
                  </c:pt>
                  <c:pt idx="261">
                    <c:v>-1, 2</c:v>
                  </c:pt>
                  <c:pt idx="262">
                    <c:v>0, 2</c:v>
                  </c:pt>
                  <c:pt idx="263">
                    <c:v>1, 2</c:v>
                  </c:pt>
                  <c:pt idx="264">
                    <c:v>2, 2</c:v>
                  </c:pt>
                  <c:pt idx="265">
                    <c:v>3, 2</c:v>
                  </c:pt>
                  <c:pt idx="266">
                    <c:v>4, 2</c:v>
                  </c:pt>
                  <c:pt idx="267">
                    <c:v>5, 2</c:v>
                  </c:pt>
                  <c:pt idx="268">
                    <c:v>6, 2</c:v>
                  </c:pt>
                  <c:pt idx="269">
                    <c:v>7, 2</c:v>
                  </c:pt>
                  <c:pt idx="270">
                    <c:v>8, 2</c:v>
                  </c:pt>
                  <c:pt idx="271">
                    <c:v>9, 2</c:v>
                  </c:pt>
                  <c:pt idx="272">
                    <c:v>10, 2</c:v>
                  </c:pt>
                  <c:pt idx="273">
                    <c:v>-10, 3</c:v>
                  </c:pt>
                  <c:pt idx="274">
                    <c:v>-9, 3</c:v>
                  </c:pt>
                  <c:pt idx="275">
                    <c:v>-8, 3</c:v>
                  </c:pt>
                  <c:pt idx="276">
                    <c:v>-7, 3</c:v>
                  </c:pt>
                  <c:pt idx="277">
                    <c:v>-6, 3</c:v>
                  </c:pt>
                  <c:pt idx="278">
                    <c:v>-5, 3</c:v>
                  </c:pt>
                  <c:pt idx="279">
                    <c:v>-4, 3</c:v>
                  </c:pt>
                  <c:pt idx="280">
                    <c:v>-3, 3</c:v>
                  </c:pt>
                  <c:pt idx="281">
                    <c:v>-2, 3</c:v>
                  </c:pt>
                  <c:pt idx="282">
                    <c:v>-1, 3</c:v>
                  </c:pt>
                  <c:pt idx="283">
                    <c:v>0, 3</c:v>
                  </c:pt>
                  <c:pt idx="284">
                    <c:v>1, 3</c:v>
                  </c:pt>
                  <c:pt idx="285">
                    <c:v>2, 3</c:v>
                  </c:pt>
                  <c:pt idx="286">
                    <c:v>3, 3</c:v>
                  </c:pt>
                  <c:pt idx="287">
                    <c:v>4, 3</c:v>
                  </c:pt>
                  <c:pt idx="288">
                    <c:v>5, 3</c:v>
                  </c:pt>
                  <c:pt idx="289">
                    <c:v>6, 3</c:v>
                  </c:pt>
                  <c:pt idx="290">
                    <c:v>7, 3</c:v>
                  </c:pt>
                  <c:pt idx="291">
                    <c:v>8, 3</c:v>
                  </c:pt>
                  <c:pt idx="292">
                    <c:v>9, 3</c:v>
                  </c:pt>
                  <c:pt idx="293">
                    <c:v>10, 3</c:v>
                  </c:pt>
                  <c:pt idx="294">
                    <c:v>-10, 4</c:v>
                  </c:pt>
                  <c:pt idx="295">
                    <c:v>-9, 4</c:v>
                  </c:pt>
                  <c:pt idx="296">
                    <c:v>-8, 4</c:v>
                  </c:pt>
                  <c:pt idx="297">
                    <c:v>-7, 4</c:v>
                  </c:pt>
                  <c:pt idx="298">
                    <c:v>-6, 4</c:v>
                  </c:pt>
                  <c:pt idx="299">
                    <c:v>-5, 4</c:v>
                  </c:pt>
                  <c:pt idx="300">
                    <c:v>-4, 4</c:v>
                  </c:pt>
                  <c:pt idx="301">
                    <c:v>-3, 4</c:v>
                  </c:pt>
                  <c:pt idx="302">
                    <c:v>-2, 4</c:v>
                  </c:pt>
                  <c:pt idx="303">
                    <c:v>-1, 4</c:v>
                  </c:pt>
                  <c:pt idx="304">
                    <c:v>0, 4</c:v>
                  </c:pt>
                  <c:pt idx="305">
                    <c:v>1, 4</c:v>
                  </c:pt>
                  <c:pt idx="306">
                    <c:v>2, 4</c:v>
                  </c:pt>
                  <c:pt idx="307">
                    <c:v>3, 4</c:v>
                  </c:pt>
                  <c:pt idx="308">
                    <c:v>4, 4</c:v>
                  </c:pt>
                  <c:pt idx="309">
                    <c:v>5, 4</c:v>
                  </c:pt>
                  <c:pt idx="310">
                    <c:v>6, 4</c:v>
                  </c:pt>
                  <c:pt idx="311">
                    <c:v>7, 4</c:v>
                  </c:pt>
                  <c:pt idx="312">
                    <c:v>8, 4</c:v>
                  </c:pt>
                  <c:pt idx="313">
                    <c:v>9, 4</c:v>
                  </c:pt>
                  <c:pt idx="314">
                    <c:v>10, 4</c:v>
                  </c:pt>
                  <c:pt idx="315">
                    <c:v>-10, 5</c:v>
                  </c:pt>
                  <c:pt idx="316">
                    <c:v>-9, 5</c:v>
                  </c:pt>
                  <c:pt idx="317">
                    <c:v>-8, 5</c:v>
                  </c:pt>
                  <c:pt idx="318">
                    <c:v>-7, 5</c:v>
                  </c:pt>
                  <c:pt idx="319">
                    <c:v>-6, 5</c:v>
                  </c:pt>
                  <c:pt idx="320">
                    <c:v>-5, 5</c:v>
                  </c:pt>
                  <c:pt idx="321">
                    <c:v>-4, 5</c:v>
                  </c:pt>
                  <c:pt idx="322">
                    <c:v>-3, 5</c:v>
                  </c:pt>
                  <c:pt idx="323">
                    <c:v>-2, 5</c:v>
                  </c:pt>
                  <c:pt idx="324">
                    <c:v>-1, 5</c:v>
                  </c:pt>
                  <c:pt idx="325">
                    <c:v>0, 5</c:v>
                  </c:pt>
                  <c:pt idx="326">
                    <c:v>1, 5</c:v>
                  </c:pt>
                  <c:pt idx="327">
                    <c:v>2, 5</c:v>
                  </c:pt>
                  <c:pt idx="328">
                    <c:v>3, 5</c:v>
                  </c:pt>
                  <c:pt idx="329">
                    <c:v>4, 5</c:v>
                  </c:pt>
                  <c:pt idx="330">
                    <c:v>5, 5</c:v>
                  </c:pt>
                  <c:pt idx="331">
                    <c:v>6, 5</c:v>
                  </c:pt>
                  <c:pt idx="332">
                    <c:v>7, 5</c:v>
                  </c:pt>
                  <c:pt idx="333">
                    <c:v>8, 5</c:v>
                  </c:pt>
                  <c:pt idx="334">
                    <c:v>9, 5</c:v>
                  </c:pt>
                  <c:pt idx="335">
                    <c:v>10, 5</c:v>
                  </c:pt>
                  <c:pt idx="336">
                    <c:v>-10, 6</c:v>
                  </c:pt>
                  <c:pt idx="337">
                    <c:v>-9, 6</c:v>
                  </c:pt>
                  <c:pt idx="338">
                    <c:v>-8, 6</c:v>
                  </c:pt>
                  <c:pt idx="339">
                    <c:v>-7, 6</c:v>
                  </c:pt>
                  <c:pt idx="340">
                    <c:v>-6, 6</c:v>
                  </c:pt>
                  <c:pt idx="341">
                    <c:v>-5, 6</c:v>
                  </c:pt>
                  <c:pt idx="342">
                    <c:v>-4, 6</c:v>
                  </c:pt>
                  <c:pt idx="343">
                    <c:v>-3, 6</c:v>
                  </c:pt>
                  <c:pt idx="344">
                    <c:v>-2, 6</c:v>
                  </c:pt>
                  <c:pt idx="345">
                    <c:v>-1, 6</c:v>
                  </c:pt>
                  <c:pt idx="346">
                    <c:v>0, 6</c:v>
                  </c:pt>
                  <c:pt idx="347">
                    <c:v>1, 6</c:v>
                  </c:pt>
                  <c:pt idx="348">
                    <c:v>2, 6</c:v>
                  </c:pt>
                  <c:pt idx="349">
                    <c:v>3, 6</c:v>
                  </c:pt>
                  <c:pt idx="350">
                    <c:v>4, 6</c:v>
                  </c:pt>
                  <c:pt idx="351">
                    <c:v>5, 6</c:v>
                  </c:pt>
                  <c:pt idx="352">
                    <c:v>6, 6</c:v>
                  </c:pt>
                  <c:pt idx="353">
                    <c:v>7, 6</c:v>
                  </c:pt>
                  <c:pt idx="354">
                    <c:v>8, 6</c:v>
                  </c:pt>
                  <c:pt idx="355">
                    <c:v>9, 6</c:v>
                  </c:pt>
                  <c:pt idx="356">
                    <c:v>10, 6</c:v>
                  </c:pt>
                  <c:pt idx="357">
                    <c:v>-10, 7</c:v>
                  </c:pt>
                  <c:pt idx="358">
                    <c:v>-9, 7</c:v>
                  </c:pt>
                  <c:pt idx="359">
                    <c:v>-8, 7</c:v>
                  </c:pt>
                  <c:pt idx="360">
                    <c:v>-7, 7</c:v>
                  </c:pt>
                  <c:pt idx="361">
                    <c:v>-6, 7</c:v>
                  </c:pt>
                  <c:pt idx="362">
                    <c:v>-5, 7</c:v>
                  </c:pt>
                  <c:pt idx="363">
                    <c:v>-4, 7</c:v>
                  </c:pt>
                  <c:pt idx="364">
                    <c:v>-3, 7</c:v>
                  </c:pt>
                  <c:pt idx="365">
                    <c:v>-2, 7</c:v>
                  </c:pt>
                  <c:pt idx="366">
                    <c:v>-1, 7</c:v>
                  </c:pt>
                  <c:pt idx="367">
                    <c:v>0, 7</c:v>
                  </c:pt>
                  <c:pt idx="368">
                    <c:v>1, 7</c:v>
                  </c:pt>
                  <c:pt idx="369">
                    <c:v>2, 7</c:v>
                  </c:pt>
                  <c:pt idx="370">
                    <c:v>3, 7</c:v>
                  </c:pt>
                  <c:pt idx="371">
                    <c:v>4, 7</c:v>
                  </c:pt>
                  <c:pt idx="372">
                    <c:v>5, 7</c:v>
                  </c:pt>
                  <c:pt idx="373">
                    <c:v>6, 7</c:v>
                  </c:pt>
                  <c:pt idx="374">
                    <c:v>7, 7</c:v>
                  </c:pt>
                  <c:pt idx="375">
                    <c:v>8, 7</c:v>
                  </c:pt>
                  <c:pt idx="376">
                    <c:v>9, 7</c:v>
                  </c:pt>
                  <c:pt idx="377">
                    <c:v>10, 7</c:v>
                  </c:pt>
                  <c:pt idx="378">
                    <c:v>-10, 8</c:v>
                  </c:pt>
                  <c:pt idx="379">
                    <c:v>-9, 8</c:v>
                  </c:pt>
                  <c:pt idx="380">
                    <c:v>-8, 8</c:v>
                  </c:pt>
                  <c:pt idx="381">
                    <c:v>-7, 8</c:v>
                  </c:pt>
                  <c:pt idx="382">
                    <c:v>-6, 8</c:v>
                  </c:pt>
                  <c:pt idx="383">
                    <c:v>-5, 8</c:v>
                  </c:pt>
                  <c:pt idx="384">
                    <c:v>-4, 8</c:v>
                  </c:pt>
                  <c:pt idx="385">
                    <c:v>-3, 8</c:v>
                  </c:pt>
                  <c:pt idx="386">
                    <c:v>-2, 8</c:v>
                  </c:pt>
                  <c:pt idx="387">
                    <c:v>-1, 8</c:v>
                  </c:pt>
                  <c:pt idx="388">
                    <c:v>0, 8</c:v>
                  </c:pt>
                  <c:pt idx="389">
                    <c:v>1, 8</c:v>
                  </c:pt>
                  <c:pt idx="390">
                    <c:v>2, 8</c:v>
                  </c:pt>
                  <c:pt idx="391">
                    <c:v>3, 8</c:v>
                  </c:pt>
                  <c:pt idx="392">
                    <c:v>4, 8</c:v>
                  </c:pt>
                  <c:pt idx="393">
                    <c:v>5, 8</c:v>
                  </c:pt>
                  <c:pt idx="394">
                    <c:v>6, 8</c:v>
                  </c:pt>
                  <c:pt idx="395">
                    <c:v>7, 8</c:v>
                  </c:pt>
                  <c:pt idx="396">
                    <c:v>8, 8</c:v>
                  </c:pt>
                  <c:pt idx="397">
                    <c:v>9, 8</c:v>
                  </c:pt>
                  <c:pt idx="398">
                    <c:v>10, 8</c:v>
                  </c:pt>
                  <c:pt idx="399">
                    <c:v>-10, 9</c:v>
                  </c:pt>
                  <c:pt idx="400">
                    <c:v>-9, 9</c:v>
                  </c:pt>
                  <c:pt idx="401">
                    <c:v>-8, 9</c:v>
                  </c:pt>
                  <c:pt idx="402">
                    <c:v>-7, 9</c:v>
                  </c:pt>
                  <c:pt idx="403">
                    <c:v>-6, 9</c:v>
                  </c:pt>
                  <c:pt idx="404">
                    <c:v>-5, 9</c:v>
                  </c:pt>
                  <c:pt idx="405">
                    <c:v>-4, 9</c:v>
                  </c:pt>
                  <c:pt idx="406">
                    <c:v>-3, 9</c:v>
                  </c:pt>
                  <c:pt idx="407">
                    <c:v>-2, 9</c:v>
                  </c:pt>
                  <c:pt idx="408">
                    <c:v>-1, 9</c:v>
                  </c:pt>
                  <c:pt idx="409">
                    <c:v>0, 9</c:v>
                  </c:pt>
                  <c:pt idx="410">
                    <c:v>1, 9</c:v>
                  </c:pt>
                  <c:pt idx="411">
                    <c:v>2, 9</c:v>
                  </c:pt>
                  <c:pt idx="412">
                    <c:v>3, 9</c:v>
                  </c:pt>
                  <c:pt idx="413">
                    <c:v>4, 9</c:v>
                  </c:pt>
                  <c:pt idx="414">
                    <c:v>5, 9</c:v>
                  </c:pt>
                  <c:pt idx="415">
                    <c:v>6, 9</c:v>
                  </c:pt>
                  <c:pt idx="416">
                    <c:v>7, 9</c:v>
                  </c:pt>
                  <c:pt idx="417">
                    <c:v>8, 9</c:v>
                  </c:pt>
                  <c:pt idx="418">
                    <c:v>9, 9</c:v>
                  </c:pt>
                  <c:pt idx="419">
                    <c:v>10, 9</c:v>
                  </c:pt>
                  <c:pt idx="420">
                    <c:v>-10, 10</c:v>
                  </c:pt>
                  <c:pt idx="421">
                    <c:v>-9, 10</c:v>
                  </c:pt>
                  <c:pt idx="422">
                    <c:v>-8, 10</c:v>
                  </c:pt>
                  <c:pt idx="423">
                    <c:v>-7, 10</c:v>
                  </c:pt>
                  <c:pt idx="424">
                    <c:v>-6, 10</c:v>
                  </c:pt>
                  <c:pt idx="425">
                    <c:v>-5, 10</c:v>
                  </c:pt>
                  <c:pt idx="426">
                    <c:v>-4, 10</c:v>
                  </c:pt>
                  <c:pt idx="427">
                    <c:v>-3, 10</c:v>
                  </c:pt>
                  <c:pt idx="428">
                    <c:v>-2, 10</c:v>
                  </c:pt>
                  <c:pt idx="429">
                    <c:v>-1, 10</c:v>
                  </c:pt>
                  <c:pt idx="430">
                    <c:v>0, 10</c:v>
                  </c:pt>
                  <c:pt idx="431">
                    <c:v>1, 10</c:v>
                  </c:pt>
                  <c:pt idx="432">
                    <c:v>2, 10</c:v>
                  </c:pt>
                  <c:pt idx="433">
                    <c:v>3, 10</c:v>
                  </c:pt>
                  <c:pt idx="434">
                    <c:v>4, 10</c:v>
                  </c:pt>
                  <c:pt idx="435">
                    <c:v>5, 10</c:v>
                  </c:pt>
                  <c:pt idx="436">
                    <c:v>6, 10</c:v>
                  </c:pt>
                  <c:pt idx="437">
                    <c:v>7, 10</c:v>
                  </c:pt>
                  <c:pt idx="438">
                    <c:v>8, 10</c:v>
                  </c:pt>
                  <c:pt idx="439">
                    <c:v>9, 10</c:v>
                  </c:pt>
                  <c:pt idx="440">
                    <c:v>10, 10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B9-46AC-45AC-997E-865ED8066A93}"/>
            </c:ext>
          </c:extLst>
        </c:ser>
        <c:ser>
          <c:idx val="1"/>
          <c:order val="1"/>
          <c:tx>
            <c:strRef>
              <c:f>Paths!$C$1</c:f>
              <c:strCache>
                <c:ptCount val="1"/>
                <c:pt idx="0">
                  <c:v>Paths</c:v>
                </c:pt>
              </c:strCache>
            </c:strRef>
          </c:tx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Paths!$A$2:$A$400</c:f>
              <c:numCache>
                <c:formatCode>General</c:formatCode>
                <c:ptCount val="399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0</c:v>
                </c:pt>
                <c:pt idx="10">
                  <c:v>0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0</c:v>
                </c:pt>
                <c:pt idx="31">
                  <c:v>0</c:v>
                </c:pt>
                <c:pt idx="33">
                  <c:v>2</c:v>
                </c:pt>
                <c:pt idx="34">
                  <c:v>2</c:v>
                </c:pt>
                <c:pt idx="36">
                  <c:v>2</c:v>
                </c:pt>
                <c:pt idx="37">
                  <c:v>2</c:v>
                </c:pt>
                <c:pt idx="39">
                  <c:v>2</c:v>
                </c:pt>
                <c:pt idx="40">
                  <c:v>2</c:v>
                </c:pt>
                <c:pt idx="42">
                  <c:v>2</c:v>
                </c:pt>
                <c:pt idx="43">
                  <c:v>2</c:v>
                </c:pt>
                <c:pt idx="45">
                  <c:v>2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1">
                  <c:v>0</c:v>
                </c:pt>
                <c:pt idx="52">
                  <c:v>0</c:v>
                </c:pt>
                <c:pt idx="54">
                  <c:v>3</c:v>
                </c:pt>
                <c:pt idx="55">
                  <c:v>3</c:v>
                </c:pt>
                <c:pt idx="57">
                  <c:v>3</c:v>
                </c:pt>
                <c:pt idx="58">
                  <c:v>3</c:v>
                </c:pt>
                <c:pt idx="60">
                  <c:v>3</c:v>
                </c:pt>
                <c:pt idx="61">
                  <c:v>3</c:v>
                </c:pt>
                <c:pt idx="63">
                  <c:v>3</c:v>
                </c:pt>
                <c:pt idx="64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0">
                  <c:v>3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10</c:v>
                </c:pt>
                <c:pt idx="81">
                  <c:v>10</c:v>
                </c:pt>
                <c:pt idx="82">
                  <c:v>10</c:v>
                </c:pt>
                <c:pt idx="84">
                  <c:v>10</c:v>
                </c:pt>
                <c:pt idx="85">
                  <c:v>-10</c:v>
                </c:pt>
                <c:pt idx="87">
                  <c:v>-10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3</c:v>
                </c:pt>
                <c:pt idx="122">
                  <c:v>3</c:v>
                </c:pt>
                <c:pt idx="123">
                  <c:v>1</c:v>
                </c:pt>
                <c:pt idx="124">
                  <c:v>1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</c:numCache>
            </c:numRef>
          </c:xVal>
          <c:yVal>
            <c:numRef>
              <c:f>Paths!$B$2:$B$400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1</c:v>
                </c:pt>
                <c:pt idx="15">
                  <c:v>1</c:v>
                </c:pt>
                <c:pt idx="16">
                  <c:v>2</c:v>
                </c:pt>
                <c:pt idx="18">
                  <c:v>2</c:v>
                </c:pt>
                <c:pt idx="19">
                  <c:v>3</c:v>
                </c:pt>
                <c:pt idx="21">
                  <c:v>3</c:v>
                </c:pt>
                <c:pt idx="22">
                  <c:v>4</c:v>
                </c:pt>
                <c:pt idx="24">
                  <c:v>4</c:v>
                </c:pt>
                <c:pt idx="25">
                  <c:v>5</c:v>
                </c:pt>
                <c:pt idx="27">
                  <c:v>5</c:v>
                </c:pt>
                <c:pt idx="28">
                  <c:v>6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-1</c:v>
                </c:pt>
                <c:pt idx="36">
                  <c:v>-1</c:v>
                </c:pt>
                <c:pt idx="37">
                  <c:v>-2</c:v>
                </c:pt>
                <c:pt idx="39">
                  <c:v>-2</c:v>
                </c:pt>
                <c:pt idx="40">
                  <c:v>-3</c:v>
                </c:pt>
                <c:pt idx="42">
                  <c:v>-3</c:v>
                </c:pt>
                <c:pt idx="43">
                  <c:v>-4</c:v>
                </c:pt>
                <c:pt idx="45">
                  <c:v>-4</c:v>
                </c:pt>
                <c:pt idx="46">
                  <c:v>-5</c:v>
                </c:pt>
                <c:pt idx="48">
                  <c:v>-5</c:v>
                </c:pt>
                <c:pt idx="49">
                  <c:v>-6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1</c:v>
                </c:pt>
                <c:pt idx="57">
                  <c:v>1</c:v>
                </c:pt>
                <c:pt idx="58">
                  <c:v>2</c:v>
                </c:pt>
                <c:pt idx="60">
                  <c:v>2</c:v>
                </c:pt>
                <c:pt idx="61">
                  <c:v>3</c:v>
                </c:pt>
                <c:pt idx="63">
                  <c:v>3</c:v>
                </c:pt>
                <c:pt idx="64">
                  <c:v>4</c:v>
                </c:pt>
                <c:pt idx="66">
                  <c:v>4</c:v>
                </c:pt>
                <c:pt idx="67">
                  <c:v>5</c:v>
                </c:pt>
                <c:pt idx="69">
                  <c:v>5</c:v>
                </c:pt>
                <c:pt idx="70">
                  <c:v>6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-10</c:v>
                </c:pt>
                <c:pt idx="81">
                  <c:v>-10</c:v>
                </c:pt>
                <c:pt idx="82">
                  <c:v>10</c:v>
                </c:pt>
                <c:pt idx="84">
                  <c:v>10</c:v>
                </c:pt>
                <c:pt idx="85">
                  <c:v>10</c:v>
                </c:pt>
                <c:pt idx="87">
                  <c:v>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6</c:v>
                </c:pt>
                <c:pt idx="122">
                  <c:v>7</c:v>
                </c:pt>
                <c:pt idx="123">
                  <c:v>7</c:v>
                </c:pt>
                <c:pt idx="124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A-46AC-45AC-997E-865ED8066A93}"/>
            </c:ext>
          </c:extLst>
        </c:ser>
        <c:ser>
          <c:idx val="0"/>
          <c:order val="2"/>
          <c:tx>
            <c:strRef>
              <c:f>Spots!$C$1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gradFill>
                <a:gsLst>
                  <a:gs pos="0">
                    <a:srgbClr val="E5FFFF"/>
                  </a:gs>
                  <a:gs pos="100000">
                    <a:srgbClr val="21C5FF"/>
                  </a:gs>
                </a:gsLst>
                <a:lin ang="5400000" scaled="1"/>
              </a:gradFill>
              <a:ln w="3175">
                <a:solidFill>
                  <a:srgbClr val="21C5FF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1BB-46AC-45AC-997E-865ED8066A93}"/>
              </c:ext>
            </c:extLst>
          </c:dPt>
          <c:dLbls>
            <c:dLbl>
              <c:idx val="0"/>
              <c:layout>
                <c:manualLayout>
                  <c:x val="-4.1369260716376088E-2"/>
                  <c:y val="-2.2029921391318923E-2"/>
                </c:manualLayout>
              </c:layout>
              <c:tx>
                <c:rich>
                  <a:bodyPr rot="0" vertOverflow="overflow" horzOverflow="overflow" vert="horz" wrap="square" lIns="36000" tIns="36000" rIns="36000" bIns="36000" anchor="ctr" anchorCtr="0">
                    <a:noAutofit/>
                  </a:bodyPr>
                  <a:lstStyle/>
                  <a:p>
                    <a:pPr>
                      <a:defRPr sz="700">
                        <a:solidFill>
                          <a:sysClr val="windowText" lastClr="000000"/>
                        </a:solidFill>
                      </a:defRPr>
                    </a:pPr>
                    <a:fld id="{4925F0EB-7091-4250-AB3E-39C13719EAB6}" type="CELLRANGE">
                      <a:rPr lang="en-US"/>
                      <a:pPr>
                        <a:defRPr sz="700">
                          <a:solidFill>
                            <a:sysClr val="windowText" lastClr="000000"/>
                          </a:solidFill>
                        </a:defRPr>
                      </a:pPr>
                      <a:t>[CELLRANGE]</a:t>
                    </a:fld>
                    <a:endParaRPr lang="en-IN"/>
                  </a:p>
                </c:rich>
              </c:tx>
              <c:spPr>
                <a:gradFill>
                  <a:gsLst>
                    <a:gs pos="0">
                      <a:srgbClr val="4F81BD">
                        <a:lumMod val="5000"/>
                        <a:lumOff val="95000"/>
                        <a:alpha val="30000"/>
                      </a:srgbClr>
                    </a:gs>
                    <a:gs pos="97000">
                      <a:srgbClr val="00B0F0"/>
                    </a:gs>
                    <a:gs pos="50000">
                      <a:srgbClr val="ECF1F8"/>
                    </a:gs>
                  </a:gsLst>
                  <a:lin ang="5400000" scaled="1"/>
                </a:gradFill>
                <a:ln w="6350">
                  <a:solidFill>
                    <a:srgbClr val="00B0F0"/>
                  </a:solidFill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oundRectCallout">
                      <a:avLst/>
                    </a:prstGeom>
                  </c15:spPr>
                  <c15:layout>
                    <c:manualLayout>
                      <c:w val="3.496047280320267E-2"/>
                      <c:h val="2.062264844783565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B-46AC-45AC-997E-865ED8066A93}"/>
                </c:ext>
              </c:extLst>
            </c:dLbl>
            <c:dLbl>
              <c:idx val="1"/>
              <c:layout>
                <c:manualLayout>
                  <c:x val="-4.0498287057951304E-2"/>
                  <c:y val="-2.1214557470474217E-2"/>
                </c:manualLayout>
              </c:layout>
              <c:tx>
                <c:rich>
                  <a:bodyPr/>
                  <a:lstStyle/>
                  <a:p>
                    <a:fld id="{B15CACBF-2FC9-47D3-8427-269FA42D5207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C-46AC-45AC-997E-865ED8066A93}"/>
                </c:ext>
              </c:extLst>
            </c:dLbl>
            <c:dLbl>
              <c:idx val="2"/>
              <c:layout>
                <c:manualLayout>
                  <c:x val="-3.4403306580179066E-2"/>
                  <c:y val="-2.11276811635428E-2"/>
                </c:manualLayout>
              </c:layout>
              <c:tx>
                <c:rich>
                  <a:bodyPr/>
                  <a:lstStyle/>
                  <a:p>
                    <a:fld id="{163B1529-F811-4016-91E6-4A15CD522129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D-46AC-45AC-997E-865ED8066A93}"/>
                </c:ext>
              </c:extLst>
            </c:dLbl>
            <c:dLbl>
              <c:idx val="3"/>
              <c:layout>
                <c:manualLayout>
                  <c:x val="-1.1812127831569211E-2"/>
                  <c:y val="-2.121630321186636E-2"/>
                </c:manualLayout>
              </c:layout>
              <c:tx>
                <c:rich>
                  <a:bodyPr/>
                  <a:lstStyle/>
                  <a:p>
                    <a:fld id="{2A6CC141-9E06-4EF2-9536-1BD0A8D363A5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E-46AC-45AC-997E-865ED8066A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46AC-45AC-997E-865ED8066A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32DFFB-177D-46D7-B6FA-D7F8B694E7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46AC-45AC-997E-865ED8066A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3E7B6C-9FB6-4457-9115-BADFBB270B0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46AC-45AC-997E-865ED8066A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7DFAFC-87D0-418C-85D5-1C945920E1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46AC-45AC-997E-865ED8066A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251438-C016-4A36-B64D-50F9E8E51C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46AC-45AC-997E-865ED8066A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9008EF-F5AE-4180-8AD0-D625F7D9DD1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46AC-45AC-997E-865ED8066A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DEFF43-3471-4654-9E5B-DA91A331299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46AC-45AC-997E-865ED8066A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46AC-45AC-997E-865ED8066A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4D9EB6-41C9-4A74-BF0A-A136438F8E0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46AC-45AC-997E-865ED8066A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1C734D-426B-4460-B867-7AB4BE440F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46AC-45AC-997E-865ED8066A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A609BD-6B9C-4209-890A-D34634B1E9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46AC-45AC-997E-865ED8066A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73C41FF-2995-40DB-9B82-D63DA3E6C5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46AC-45AC-997E-865ED8066A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BC98F1-C0CC-47FC-99C3-7968C5A0BF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46AC-45AC-997E-865ED8066A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795E1A-DAAC-4E16-9149-EA90EDBC13E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46AC-45AC-997E-865ED8066A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46AC-45AC-997E-865ED8066A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DFE344-4EBA-4E77-A1FD-CAAAC6D9E19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46AC-45AC-997E-865ED8066A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C0B6C7D-91F1-4070-BA61-FCD2A551E1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46AC-45AC-997E-865ED8066A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FD05FE-34BE-4E9A-8A34-DE1A029B304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46AC-45AC-997E-865ED8066A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A640E6-2919-48A8-A715-2A053FB72C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46AC-45AC-997E-865ED8066A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FFCC20-CD23-436B-83A7-F5B847912A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46AC-45AC-997E-865ED8066A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8E9555-5CDD-42AC-A3C7-8DA4C2A420D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46AC-45AC-997E-865ED8066A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46AC-45AC-997E-865ED8066A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AD0E51-9D51-4B05-BC5C-958272D800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46AC-45AC-997E-865ED8066A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9B7FD7-D67E-4EA5-BBDB-38112888FE2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46AC-45AC-997E-865ED8066A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46AC-45AC-997E-865ED8066A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A28193B-59F0-42AD-AD86-B884A08E3D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46AC-45AC-997E-865ED8066A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A63DEF-6854-404F-BBB6-51905EF8A07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46AC-45AC-997E-865ED8066A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06DE29-58C4-4074-BCB4-CFBF7B60A6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46AC-45AC-997E-865ED8066A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9A8CD0-D55F-4CDD-AB82-C99A25AB4FF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46AC-45AC-997E-865ED8066A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46AC-45AC-997E-865ED8066A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46AC-45AC-997E-865ED8066A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46AC-45AC-997E-865ED8066A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46AC-45AC-997E-865ED8066A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46AC-45AC-997E-865ED8066A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46AC-45AC-997E-865ED8066A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46AC-45AC-997E-865ED8066A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46AC-45AC-997E-865ED8066A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46AC-45AC-997E-865ED8066A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46AC-45AC-997E-865ED8066A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46AC-45AC-997E-865ED8066A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46AC-45AC-997E-865ED8066A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46AC-45AC-997E-865ED8066A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46AC-45AC-997E-865ED8066A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46AC-45AC-997E-865ED8066A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46AC-45AC-997E-865ED8066A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46AC-45AC-997E-865ED8066A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46AC-45AC-997E-865ED8066A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46AC-45AC-997E-865ED8066A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46AC-45AC-997E-865ED8066A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46AC-45AC-997E-865ED8066A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46AC-45AC-997E-865ED8066A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46AC-45AC-997E-865ED8066A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46AC-45AC-997E-865ED8066A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46AC-45AC-997E-865ED8066A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46AC-45AC-997E-865ED8066A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46AC-45AC-997E-865ED8066A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46AC-45AC-997E-865ED8066A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46AC-45AC-997E-865ED8066A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46AC-45AC-997E-865ED8066A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46AC-45AC-997E-865ED8066A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46AC-45AC-997E-865ED8066A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46AC-45AC-997E-865ED8066A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46AC-45AC-997E-865ED8066A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46AC-45AC-997E-865ED8066A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46AC-45AC-997E-865ED8066A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46AC-45AC-997E-865ED8066A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46AC-45AC-997E-865ED8066A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46AC-45AC-997E-865ED8066A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46AC-45AC-997E-865ED8066A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46AC-45AC-997E-865ED8066A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46AC-45AC-997E-865ED8066A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46AC-45AC-997E-865ED8066A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46AC-45AC-997E-865ED8066A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46AC-45AC-997E-865ED8066A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46AC-45AC-997E-865ED8066A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46AC-45AC-997E-865ED8066A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46AC-45AC-997E-865ED8066A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46AC-45AC-997E-865ED8066A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46AC-45AC-997E-865ED8066A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46AC-45AC-997E-865ED8066A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46AC-45AC-997E-865ED8066A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46AC-45AC-997E-865ED8066A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46AC-45AC-997E-865ED8066A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46AC-45AC-997E-865ED8066A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46AC-45AC-997E-865ED8066A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46AC-45AC-997E-865ED8066A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46AC-45AC-997E-865ED8066A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46AC-45AC-997E-865ED8066A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46AC-45AC-997E-865ED8066A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46AC-45AC-997E-865ED8066A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46AC-45AC-997E-865ED8066A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46AC-45AC-997E-865ED8066A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46AC-45AC-997E-865ED8066A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46AC-45AC-997E-865ED8066A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46AC-45AC-997E-865ED8066A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46AC-45AC-997E-865ED8066A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46AC-45AC-997E-865ED8066A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46AC-45AC-997E-865ED8066A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46AC-45AC-997E-865ED8066A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46AC-45AC-997E-865ED8066A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46AC-45AC-997E-865ED8066A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46AC-45AC-997E-865ED8066A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46AC-45AC-997E-865ED8066A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46AC-45AC-997E-865ED8066A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46AC-45AC-997E-865ED8066A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46AC-45AC-997E-865ED8066A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46AC-45AC-997E-865ED8066A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46AC-45AC-997E-865ED8066A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46AC-45AC-997E-865ED8066A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46AC-45AC-997E-865ED8066A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46AC-45AC-997E-865ED8066A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46AC-45AC-997E-865ED8066A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46AC-45AC-997E-865ED8066A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46AC-45AC-997E-865ED8066A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46AC-45AC-997E-865ED8066A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46AC-45AC-997E-865ED8066A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46AC-45AC-997E-865ED8066A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46AC-45AC-997E-865ED8066A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46AC-45AC-997E-865ED8066A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46AC-45AC-997E-865ED8066A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46AC-45AC-997E-865ED8066A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46AC-45AC-997E-865ED8066A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46AC-45AC-997E-865ED8066A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46AC-45AC-997E-865ED8066A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46AC-45AC-997E-865ED8066A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46AC-45AC-997E-865ED8066A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46AC-45AC-997E-865ED8066A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46AC-45AC-997E-865ED8066A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46AC-45AC-997E-865ED8066A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46AC-45AC-997E-865ED8066A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46AC-45AC-997E-865ED8066A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46AC-45AC-997E-865ED8066A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46AC-45AC-997E-865ED8066A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46AC-45AC-997E-865ED8066A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46AC-45AC-997E-865ED8066A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46AC-45AC-997E-865ED8066A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46AC-45AC-997E-865ED8066A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46AC-45AC-997E-865ED8066A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46AC-45AC-997E-865ED8066A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46AC-45AC-997E-865ED8066A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46AC-45AC-997E-865ED8066A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46AC-45AC-997E-865ED8066A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46AC-45AC-997E-865ED8066A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46AC-45AC-997E-865ED8066A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46AC-45AC-997E-865ED8066A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46AC-45AC-997E-865ED8066A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46AC-45AC-997E-865ED8066A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46AC-45AC-997E-865ED8066A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46AC-45AC-997E-865ED8066A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46AC-45AC-997E-865ED8066A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46AC-45AC-997E-865ED8066A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46AC-45AC-997E-865ED8066A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46AC-45AC-997E-865ED8066A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46AC-45AC-997E-865ED8066A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46AC-45AC-997E-865ED8066A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46AC-45AC-997E-865ED8066A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46AC-45AC-997E-865ED8066A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46AC-45AC-997E-865ED8066A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46AC-45AC-997E-865ED8066A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46AC-45AC-997E-865ED8066A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46AC-45AC-997E-865ED8066A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46AC-45AC-997E-865ED8066A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46AC-45AC-997E-865ED8066A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46AC-45AC-997E-865ED8066A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46AC-45AC-997E-865ED8066A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46AC-45AC-997E-865ED8066A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46AC-45AC-997E-865ED8066A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46AC-45AC-997E-865ED8066A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46AC-45AC-997E-865ED8066A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46AC-45AC-997E-865ED8066A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46AC-45AC-997E-865ED8066A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46AC-45AC-997E-865ED8066A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46AC-45AC-997E-865ED8066A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46AC-45AC-997E-865ED8066A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46AC-45AC-997E-865ED8066A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46AC-45AC-997E-865ED8066A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46AC-45AC-997E-865ED8066A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46AC-45AC-997E-865ED8066A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46AC-45AC-997E-865ED8066A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46AC-45AC-997E-865ED8066A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46AC-45AC-997E-865ED8066A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46AC-45AC-997E-865ED8066A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46AC-45AC-997E-865ED8066A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46AC-45AC-997E-865ED8066A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46AC-45AC-997E-865ED8066A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46AC-45AC-997E-865ED8066A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46AC-45AC-997E-865ED8066A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46AC-45AC-997E-865ED8066A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46AC-45AC-997E-865ED8066A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46AC-45AC-997E-865ED8066A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46AC-45AC-997E-865ED8066A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46AC-45AC-997E-865ED8066A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46AC-45AC-997E-865ED8066A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46AC-45AC-997E-865ED8066A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46AC-45AC-997E-865ED8066A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46AC-45AC-997E-865ED8066A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46AC-45AC-997E-865ED8066A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46AC-45AC-997E-865ED8066A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46AC-45AC-997E-865ED8066A93}"/>
                </c:ext>
              </c:extLst>
            </c:dLbl>
            <c:spPr>
              <a:gradFill>
                <a:gsLst>
                  <a:gs pos="0">
                    <a:srgbClr val="4F81BD">
                      <a:lumMod val="5000"/>
                      <a:lumOff val="95000"/>
                      <a:alpha val="30000"/>
                    </a:srgbClr>
                  </a:gs>
                  <a:gs pos="97000">
                    <a:srgbClr val="00B0F0"/>
                  </a:gs>
                  <a:gs pos="50000">
                    <a:srgbClr val="ECF1F8"/>
                  </a:gs>
                </a:gsLst>
                <a:lin ang="5400000" scaled="1"/>
              </a:gradFill>
              <a:ln w="6350">
                <a:solidFill>
                  <a:srgbClr val="00B0F0"/>
                </a:solidFill>
              </a:ln>
              <a:effectLst/>
            </c:spPr>
            <c:txPr>
              <a:bodyPr rot="0" vertOverflow="overflow" horzOverflow="overflow" vert="horz" wrap="square" lIns="36000" tIns="36000" rIns="36000" bIns="36000" anchor="ctr" anchorCtr="0">
                <a:spAutoFit/>
              </a:bodyPr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Spots!$B$3:$B$205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6">
                  <c:v>2</c:v>
                </c:pt>
                <c:pt idx="27">
                  <c:v>2</c:v>
                </c:pt>
                <c:pt idx="29">
                  <c:v>-10</c:v>
                </c:pt>
                <c:pt idx="30">
                  <c:v>10</c:v>
                </c:pt>
                <c:pt idx="31">
                  <c:v>10</c:v>
                </c:pt>
                <c:pt idx="32">
                  <c:v>-10</c:v>
                </c:pt>
              </c:numCache>
            </c:numRef>
          </c:xVal>
          <c:yVal>
            <c:numRef>
              <c:f>Spots!$C$3:$C$205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2">
                  <c:v>-1</c:v>
                </c:pt>
                <c:pt idx="13">
                  <c:v>-2</c:v>
                </c:pt>
                <c:pt idx="14">
                  <c:v>-3</c:v>
                </c:pt>
                <c:pt idx="15">
                  <c:v>-4</c:v>
                </c:pt>
                <c:pt idx="16">
                  <c:v>-5</c:v>
                </c:pt>
                <c:pt idx="17">
                  <c:v>-6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6">
                  <c:v>8</c:v>
                </c:pt>
                <c:pt idx="27">
                  <c:v>-8</c:v>
                </c:pt>
                <c:pt idx="29">
                  <c:v>-10</c:v>
                </c:pt>
                <c:pt idx="30">
                  <c:v>-10</c:v>
                </c:pt>
                <c:pt idx="31">
                  <c:v>10</c:v>
                </c:pt>
                <c:pt idx="32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Spots!$A$3:$A$127</c15:f>
                <c15:dlblRangeCache>
                  <c:ptCount val="125"/>
                  <c:pt idx="0">
                    <c:v>Intro</c:v>
                  </c:pt>
                  <c:pt idx="1">
                    <c:v>Features</c:v>
                  </c:pt>
                  <c:pt idx="2">
                    <c:v>Applications</c:v>
                  </c:pt>
                  <c:pt idx="3">
                    <c:v>Benefits</c:v>
                  </c:pt>
                  <c:pt idx="5">
                    <c:v>Feature1</c:v>
                  </c:pt>
                  <c:pt idx="6">
                    <c:v>Feature2</c:v>
                  </c:pt>
                  <c:pt idx="7">
                    <c:v>Feature3</c:v>
                  </c:pt>
                  <c:pt idx="8">
                    <c:v>Feature4</c:v>
                  </c:pt>
                  <c:pt idx="9">
                    <c:v>Feature5</c:v>
                  </c:pt>
                  <c:pt idx="10">
                    <c:v>Feature6</c:v>
                  </c:pt>
                  <c:pt idx="12">
                    <c:v>Application1</c:v>
                  </c:pt>
                  <c:pt idx="13">
                    <c:v>Application2</c:v>
                  </c:pt>
                  <c:pt idx="14">
                    <c:v>Application3</c:v>
                  </c:pt>
                  <c:pt idx="15">
                    <c:v>Application4</c:v>
                  </c:pt>
                  <c:pt idx="16">
                    <c:v>Application5</c:v>
                  </c:pt>
                  <c:pt idx="17">
                    <c:v>Application6</c:v>
                  </c:pt>
                  <c:pt idx="19">
                    <c:v>Benefit1</c:v>
                  </c:pt>
                  <c:pt idx="20">
                    <c:v>Benefit2</c:v>
                  </c:pt>
                  <c:pt idx="21">
                    <c:v>Benefit3</c:v>
                  </c:pt>
                  <c:pt idx="22">
                    <c:v>Benefit4</c:v>
                  </c:pt>
                  <c:pt idx="23">
                    <c:v>Benefit5</c:v>
                  </c:pt>
                  <c:pt idx="24">
                    <c:v>Benefit6</c:v>
                  </c:pt>
                  <c:pt idx="26">
                    <c:v>Teleport1</c:v>
                  </c:pt>
                  <c:pt idx="27">
                    <c:v>Teleport2</c:v>
                  </c:pt>
                  <c:pt idx="29">
                    <c:v>Blank_1</c:v>
                  </c:pt>
                  <c:pt idx="30">
                    <c:v>Blank_2</c:v>
                  </c:pt>
                  <c:pt idx="31">
                    <c:v>Blank_3</c:v>
                  </c:pt>
                  <c:pt idx="32">
                    <c:v>Blank_4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281-46AC-45AC-997E-865ED8066A93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99414528"/>
        <c:axId val="199416448"/>
      </c:scatterChart>
      <c:valAx>
        <c:axId val="199414528"/>
        <c:scaling>
          <c:orientation val="minMax"/>
          <c:max val="10"/>
          <c:min val="-1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199416448"/>
        <c:crossesAt val="0"/>
        <c:crossBetween val="midCat"/>
        <c:majorUnit val="10"/>
      </c:valAx>
      <c:valAx>
        <c:axId val="199416448"/>
        <c:scaling>
          <c:orientation val="minMax"/>
          <c:max val="10"/>
          <c:min val="-1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99414528"/>
        <c:crosses val="autoZero"/>
        <c:crossBetween val="midCat"/>
        <c:majorUnit val="10"/>
      </c:valAx>
      <c:spPr>
        <a:noFill/>
        <a:ln w="25400">
          <a:solidFill>
            <a:srgbClr val="61D6FF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Map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47040617626585424"/>
          <c:y val="1.83170628357975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0251572327044023E-2"/>
          <c:y val="5.6903988348981763E-2"/>
          <c:w val="0.90241280731846774"/>
          <c:h val="0.89848468587552532"/>
        </c:manualLayout>
      </c:layout>
      <c:scatterChart>
        <c:scatterStyle val="lineMarker"/>
        <c:varyColors val="0"/>
        <c:ser>
          <c:idx val="1"/>
          <c:order val="0"/>
          <c:tx>
            <c:strRef>
              <c:f>Paths!$C$1</c:f>
              <c:strCache>
                <c:ptCount val="1"/>
                <c:pt idx="0">
                  <c:v>Paths</c:v>
                </c:pt>
              </c:strCache>
            </c:strRef>
          </c:tx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Paths!$A$2:$A$1000</c:f>
              <c:numCache>
                <c:formatCode>General</c:formatCode>
                <c:ptCount val="999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0</c:v>
                </c:pt>
                <c:pt idx="10">
                  <c:v>0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0</c:v>
                </c:pt>
                <c:pt idx="31">
                  <c:v>0</c:v>
                </c:pt>
                <c:pt idx="33">
                  <c:v>2</c:v>
                </c:pt>
                <c:pt idx="34">
                  <c:v>2</c:v>
                </c:pt>
                <c:pt idx="36">
                  <c:v>2</c:v>
                </c:pt>
                <c:pt idx="37">
                  <c:v>2</c:v>
                </c:pt>
                <c:pt idx="39">
                  <c:v>2</c:v>
                </c:pt>
                <c:pt idx="40">
                  <c:v>2</c:v>
                </c:pt>
                <c:pt idx="42">
                  <c:v>2</c:v>
                </c:pt>
                <c:pt idx="43">
                  <c:v>2</c:v>
                </c:pt>
                <c:pt idx="45">
                  <c:v>2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1">
                  <c:v>0</c:v>
                </c:pt>
                <c:pt idx="52">
                  <c:v>0</c:v>
                </c:pt>
                <c:pt idx="54">
                  <c:v>3</c:v>
                </c:pt>
                <c:pt idx="55">
                  <c:v>3</c:v>
                </c:pt>
                <c:pt idx="57">
                  <c:v>3</c:v>
                </c:pt>
                <c:pt idx="58">
                  <c:v>3</c:v>
                </c:pt>
                <c:pt idx="60">
                  <c:v>3</c:v>
                </c:pt>
                <c:pt idx="61">
                  <c:v>3</c:v>
                </c:pt>
                <c:pt idx="63">
                  <c:v>3</c:v>
                </c:pt>
                <c:pt idx="64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0">
                  <c:v>3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10</c:v>
                </c:pt>
                <c:pt idx="81">
                  <c:v>10</c:v>
                </c:pt>
                <c:pt idx="82">
                  <c:v>10</c:v>
                </c:pt>
                <c:pt idx="84">
                  <c:v>10</c:v>
                </c:pt>
                <c:pt idx="85">
                  <c:v>-10</c:v>
                </c:pt>
                <c:pt idx="87">
                  <c:v>-10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3</c:v>
                </c:pt>
                <c:pt idx="122">
                  <c:v>3</c:v>
                </c:pt>
                <c:pt idx="123">
                  <c:v>1</c:v>
                </c:pt>
                <c:pt idx="124">
                  <c:v>1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</c:numCache>
            </c:numRef>
          </c:xVal>
          <c:yVal>
            <c:numRef>
              <c:f>Paths!$B$2:$B$1000</c:f>
              <c:numCache>
                <c:formatCode>General</c:formatCode>
                <c:ptCount val="999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1</c:v>
                </c:pt>
                <c:pt idx="15">
                  <c:v>1</c:v>
                </c:pt>
                <c:pt idx="16">
                  <c:v>2</c:v>
                </c:pt>
                <c:pt idx="18">
                  <c:v>2</c:v>
                </c:pt>
                <c:pt idx="19">
                  <c:v>3</c:v>
                </c:pt>
                <c:pt idx="21">
                  <c:v>3</c:v>
                </c:pt>
                <c:pt idx="22">
                  <c:v>4</c:v>
                </c:pt>
                <c:pt idx="24">
                  <c:v>4</c:v>
                </c:pt>
                <c:pt idx="25">
                  <c:v>5</c:v>
                </c:pt>
                <c:pt idx="27">
                  <c:v>5</c:v>
                </c:pt>
                <c:pt idx="28">
                  <c:v>6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-1</c:v>
                </c:pt>
                <c:pt idx="36">
                  <c:v>-1</c:v>
                </c:pt>
                <c:pt idx="37">
                  <c:v>-2</c:v>
                </c:pt>
                <c:pt idx="39">
                  <c:v>-2</c:v>
                </c:pt>
                <c:pt idx="40">
                  <c:v>-3</c:v>
                </c:pt>
                <c:pt idx="42">
                  <c:v>-3</c:v>
                </c:pt>
                <c:pt idx="43">
                  <c:v>-4</c:v>
                </c:pt>
                <c:pt idx="45">
                  <c:v>-4</c:v>
                </c:pt>
                <c:pt idx="46">
                  <c:v>-5</c:v>
                </c:pt>
                <c:pt idx="48">
                  <c:v>-5</c:v>
                </c:pt>
                <c:pt idx="49">
                  <c:v>-6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1</c:v>
                </c:pt>
                <c:pt idx="57">
                  <c:v>1</c:v>
                </c:pt>
                <c:pt idx="58">
                  <c:v>2</c:v>
                </c:pt>
                <c:pt idx="60">
                  <c:v>2</c:v>
                </c:pt>
                <c:pt idx="61">
                  <c:v>3</c:v>
                </c:pt>
                <c:pt idx="63">
                  <c:v>3</c:v>
                </c:pt>
                <c:pt idx="64">
                  <c:v>4</c:v>
                </c:pt>
                <c:pt idx="66">
                  <c:v>4</c:v>
                </c:pt>
                <c:pt idx="67">
                  <c:v>5</c:v>
                </c:pt>
                <c:pt idx="69">
                  <c:v>5</c:v>
                </c:pt>
                <c:pt idx="70">
                  <c:v>6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-10</c:v>
                </c:pt>
                <c:pt idx="81">
                  <c:v>-10</c:v>
                </c:pt>
                <c:pt idx="82">
                  <c:v>10</c:v>
                </c:pt>
                <c:pt idx="84">
                  <c:v>10</c:v>
                </c:pt>
                <c:pt idx="85">
                  <c:v>10</c:v>
                </c:pt>
                <c:pt idx="87">
                  <c:v>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6</c:v>
                </c:pt>
                <c:pt idx="122">
                  <c:v>7</c:v>
                </c:pt>
                <c:pt idx="123">
                  <c:v>7</c:v>
                </c:pt>
                <c:pt idx="124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E8-4BA1-BC0E-27D73A9027E5}"/>
            </c:ext>
          </c:extLst>
        </c:ser>
        <c:ser>
          <c:idx val="0"/>
          <c:order val="1"/>
          <c:tx>
            <c:strRef>
              <c:f>Spots!$C$1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gradFill>
                <a:gsLst>
                  <a:gs pos="0">
                    <a:srgbClr val="4F81BD">
                      <a:lumMod val="5000"/>
                      <a:lumOff val="95000"/>
                    </a:srgbClr>
                  </a:gs>
                  <a:gs pos="100000">
                    <a:srgbClr val="21C5FF"/>
                  </a:gs>
                </a:gsLst>
                <a:lin ang="5400000" scaled="1"/>
              </a:gradFill>
              <a:ln w="3175">
                <a:solidFill>
                  <a:schemeClr val="accent1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E6E8-4BA1-BC0E-27D73A9027E5}"/>
              </c:ext>
            </c:extLst>
          </c:dPt>
          <c:dLbls>
            <c:dLbl>
              <c:idx val="0"/>
              <c:layout>
                <c:manualLayout>
                  <c:x val="-4.1369260716376088E-2"/>
                  <c:y val="-2.2029921391318923E-2"/>
                </c:manualLayout>
              </c:layout>
              <c:tx>
                <c:rich>
                  <a:bodyPr/>
                  <a:lstStyle/>
                  <a:p>
                    <a:fld id="{0C8B9B36-5E3F-499C-9446-BD7EA2CE4BBE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6E8-4BA1-BC0E-27D73A9027E5}"/>
                </c:ext>
              </c:extLst>
            </c:dLbl>
            <c:dLbl>
              <c:idx val="1"/>
              <c:layout>
                <c:manualLayout>
                  <c:x val="-4.0498287057951304E-2"/>
                  <c:y val="-2.1214557470474217E-2"/>
                </c:manualLayout>
              </c:layout>
              <c:tx>
                <c:rich>
                  <a:bodyPr/>
                  <a:lstStyle/>
                  <a:p>
                    <a:fld id="{896BB71F-1BA1-4AE5-9E93-4D1BBD6FC96A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6E8-4BA1-BC0E-27D73A9027E5}"/>
                </c:ext>
              </c:extLst>
            </c:dLbl>
            <c:dLbl>
              <c:idx val="2"/>
              <c:layout>
                <c:manualLayout>
                  <c:x val="-3.4403306580179066E-2"/>
                  <c:y val="-2.11276811635428E-2"/>
                </c:manualLayout>
              </c:layout>
              <c:tx>
                <c:rich>
                  <a:bodyPr/>
                  <a:lstStyle/>
                  <a:p>
                    <a:fld id="{7FB4ECC4-8EDF-46A4-8DC3-1023B811FCA6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6E8-4BA1-BC0E-27D73A9027E5}"/>
                </c:ext>
              </c:extLst>
            </c:dLbl>
            <c:dLbl>
              <c:idx val="3"/>
              <c:layout>
                <c:manualLayout>
                  <c:x val="-1.1812127831569211E-2"/>
                  <c:y val="-2.121630321186636E-2"/>
                </c:manualLayout>
              </c:layout>
              <c:tx>
                <c:rich>
                  <a:bodyPr/>
                  <a:lstStyle/>
                  <a:p>
                    <a:fld id="{F0D61AE9-A6D9-4779-8187-16B401988672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6E8-4BA1-BC0E-27D73A9027E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E8-4BA1-BC0E-27D73A9027E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7B5879-FAAE-4C22-91A3-07EB7EBA01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E8-4BA1-BC0E-27D73A9027E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393287-F527-4A08-86CB-528326359E3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E8-4BA1-BC0E-27D73A9027E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FAF83D4-B430-4733-9B0C-BF8D9C8B77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E8-4BA1-BC0E-27D73A9027E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C3D2AA-71F9-4AC3-AA2F-7EBE40FE78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E8-4BA1-BC0E-27D73A9027E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22DE72-F07F-4912-B596-4017EBCA07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E8-4BA1-BC0E-27D73A9027E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35AA6A-456B-45CC-9596-017E95FA25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E8-4BA1-BC0E-27D73A9027E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E8-4BA1-BC0E-27D73A9027E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800202C-7B70-4D7C-A5C5-440C10ACB5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E8-4BA1-BC0E-27D73A9027E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70B596-5877-45D9-AA55-D506160275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E8-4BA1-BC0E-27D73A9027E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718CAB-6064-40DD-9065-0A6BB6326A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E8-4BA1-BC0E-27D73A9027E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3D1E11-955C-41EC-B6EE-B7ED43B29A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E8-4BA1-BC0E-27D73A9027E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84E2D2-2773-45FF-BCFE-B56C0CD7FD0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E8-4BA1-BC0E-27D73A9027E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4D31F9-BB06-4459-A322-EABC7B2E69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E8-4BA1-BC0E-27D73A9027E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E8-4BA1-BC0E-27D73A9027E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E459325-B538-4A14-9FB6-A159300DEE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E8-4BA1-BC0E-27D73A9027E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F451A67-95F3-40D9-98E2-C07594A5D27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E8-4BA1-BC0E-27D73A9027E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24FF32-0728-4634-87BA-E53657082F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E8-4BA1-BC0E-27D73A9027E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D61CE4-E6E7-45A8-BEE5-E1C5C688CB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E8-4BA1-BC0E-27D73A9027E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087A17-22DC-4554-AA19-0DCF9AF248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E8-4BA1-BC0E-27D73A9027E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31C44A-1853-45A4-B8A8-450CC6A69AF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E8-4BA1-BC0E-27D73A9027E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E8-4BA1-BC0E-27D73A9027E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5BCD89-F174-434E-A817-B60459FEB0A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E8-4BA1-BC0E-27D73A9027E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7AD57E-D63E-47D0-B9D9-D1157DC5187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E8-4BA1-BC0E-27D73A9027E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E8-4BA1-BC0E-27D73A9027E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ACF291-A85F-4894-A62B-B2D1602B86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E8-4BA1-BC0E-27D73A9027E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9252E0-53C3-4908-A330-2113AA4010A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E8-4BA1-BC0E-27D73A9027E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374178-EB36-4D8C-9930-3C1A4A5F6A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E8-4BA1-BC0E-27D73A9027E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B070FFB-8BCF-410C-B057-FCD5785D812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E8-4BA1-BC0E-27D73A9027E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6E8-4BA1-BC0E-27D73A9027E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E8-4BA1-BC0E-27D73A9027E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E8-4BA1-BC0E-27D73A9027E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E8-4BA1-BC0E-27D73A9027E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E8-4BA1-BC0E-27D73A9027E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E8-4BA1-BC0E-27D73A9027E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E8-4BA1-BC0E-27D73A9027E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E8-4BA1-BC0E-27D73A9027E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E8-4BA1-BC0E-27D73A9027E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E8-4BA1-BC0E-27D73A9027E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E8-4BA1-BC0E-27D73A9027E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E8-4BA1-BC0E-27D73A9027E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E8-4BA1-BC0E-27D73A9027E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E8-4BA1-BC0E-27D73A9027E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E8-4BA1-BC0E-27D73A9027E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E8-4BA1-BC0E-27D73A9027E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E8-4BA1-BC0E-27D73A9027E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E8-4BA1-BC0E-27D73A9027E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E8-4BA1-BC0E-27D73A9027E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E8-4BA1-BC0E-27D73A9027E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E8-4BA1-BC0E-27D73A9027E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E8-4BA1-BC0E-27D73A9027E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E8-4BA1-BC0E-27D73A9027E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E8-4BA1-BC0E-27D73A9027E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E8-4BA1-BC0E-27D73A9027E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E8-4BA1-BC0E-27D73A9027E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E8-4BA1-BC0E-27D73A9027E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E8-4BA1-BC0E-27D73A9027E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E8-4BA1-BC0E-27D73A9027E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E8-4BA1-BC0E-27D73A9027E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E8-4BA1-BC0E-27D73A9027E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E8-4BA1-BC0E-27D73A9027E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E8-4BA1-BC0E-27D73A9027E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E8-4BA1-BC0E-27D73A9027E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E8-4BA1-BC0E-27D73A9027E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E8-4BA1-BC0E-27D73A9027E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E8-4BA1-BC0E-27D73A9027E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E8-4BA1-BC0E-27D73A9027E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E8-4BA1-BC0E-27D73A9027E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E8-4BA1-BC0E-27D73A9027E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E8-4BA1-BC0E-27D73A9027E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E8-4BA1-BC0E-27D73A9027E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E8-4BA1-BC0E-27D73A9027E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E8-4BA1-BC0E-27D73A9027E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E8-4BA1-BC0E-27D73A9027E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E8-4BA1-BC0E-27D73A9027E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E8-4BA1-BC0E-27D73A9027E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E8-4BA1-BC0E-27D73A9027E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E8-4BA1-BC0E-27D73A9027E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E8-4BA1-BC0E-27D73A9027E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E8-4BA1-BC0E-27D73A9027E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E8-4BA1-BC0E-27D73A9027E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E8-4BA1-BC0E-27D73A9027E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E8-4BA1-BC0E-27D73A9027E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E8-4BA1-BC0E-27D73A9027E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E8-4BA1-BC0E-27D73A9027E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E8-4BA1-BC0E-27D73A9027E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E8-4BA1-BC0E-27D73A9027E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E8-4BA1-BC0E-27D73A9027E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E8-4BA1-BC0E-27D73A9027E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E8-4BA1-BC0E-27D73A9027E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E8-4BA1-BC0E-27D73A9027E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E8-4BA1-BC0E-27D73A9027E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E8-4BA1-BC0E-27D73A9027E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E8-4BA1-BC0E-27D73A9027E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E8-4BA1-BC0E-27D73A9027E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6E8-4BA1-BC0E-27D73A9027E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6E8-4BA1-BC0E-27D73A9027E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6E8-4BA1-BC0E-27D73A9027E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6E8-4BA1-BC0E-27D73A9027E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6E8-4BA1-BC0E-27D73A9027E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6E8-4BA1-BC0E-27D73A9027E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6E8-4BA1-BC0E-27D73A9027E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6E8-4BA1-BC0E-27D73A9027E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6E8-4BA1-BC0E-27D73A9027E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6E8-4BA1-BC0E-27D73A9027E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6E8-4BA1-BC0E-27D73A9027E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6E8-4BA1-BC0E-27D73A9027E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6E8-4BA1-BC0E-27D73A9027E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6E8-4BA1-BC0E-27D73A9027E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6E8-4BA1-BC0E-27D73A9027E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6E8-4BA1-BC0E-27D73A9027E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6E8-4BA1-BC0E-27D73A9027E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6E8-4BA1-BC0E-27D73A9027E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6E8-4BA1-BC0E-27D73A9027E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6E8-4BA1-BC0E-27D73A9027E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6E8-4BA1-BC0E-27D73A9027E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6E8-4BA1-BC0E-27D73A9027E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6E8-4BA1-BC0E-27D73A9027E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6E8-4BA1-BC0E-27D73A9027E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6E8-4BA1-BC0E-27D73A9027E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6E8-4BA1-BC0E-27D73A9027E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6E8-4BA1-BC0E-27D73A9027E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6E8-4BA1-BC0E-27D73A9027E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6E8-4BA1-BC0E-27D73A9027E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6E8-4BA1-BC0E-27D73A9027E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6E8-4BA1-BC0E-27D73A9027E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6E8-4BA1-BC0E-27D73A9027E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6E8-4BA1-BC0E-27D73A9027E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6E8-4BA1-BC0E-27D73A9027E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6E8-4BA1-BC0E-27D73A9027E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6E8-4BA1-BC0E-27D73A9027E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6E8-4BA1-BC0E-27D73A9027E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6E8-4BA1-BC0E-27D73A9027E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6E8-4BA1-BC0E-27D73A9027E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6E8-4BA1-BC0E-27D73A9027E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6E8-4BA1-BC0E-27D73A9027E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6E8-4BA1-BC0E-27D73A9027E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6E8-4BA1-BC0E-27D73A9027E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6E8-4BA1-BC0E-27D73A9027E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6E8-4BA1-BC0E-27D73A9027E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6E8-4BA1-BC0E-27D73A9027E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6E8-4BA1-BC0E-27D73A9027E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6E8-4BA1-BC0E-27D73A9027E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6E8-4BA1-BC0E-27D73A9027E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6E8-4BA1-BC0E-27D73A9027E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6E8-4BA1-BC0E-27D73A9027E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6E8-4BA1-BC0E-27D73A9027E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6E8-4BA1-BC0E-27D73A9027E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6E8-4BA1-BC0E-27D73A9027E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6E8-4BA1-BC0E-27D73A9027E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6E8-4BA1-BC0E-27D73A9027E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6E8-4BA1-BC0E-27D73A9027E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6E8-4BA1-BC0E-27D73A9027E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6E8-4BA1-BC0E-27D73A9027E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6E8-4BA1-BC0E-27D73A9027E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6E8-4BA1-BC0E-27D73A9027E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6E8-4BA1-BC0E-27D73A9027E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6E8-4BA1-BC0E-27D73A9027E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6E8-4BA1-BC0E-27D73A9027E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6E8-4BA1-BC0E-27D73A9027E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6E8-4BA1-BC0E-27D73A9027E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6E8-4BA1-BC0E-27D73A9027E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6E8-4BA1-BC0E-27D73A9027E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6E8-4BA1-BC0E-27D73A9027E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6E8-4BA1-BC0E-27D73A9027E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6E8-4BA1-BC0E-27D73A9027E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6E8-4BA1-BC0E-27D73A9027E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6E8-4BA1-BC0E-27D73A9027E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6E8-4BA1-BC0E-27D73A9027E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6E8-4BA1-BC0E-27D73A9027E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6E8-4BA1-BC0E-27D73A9027E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6E8-4BA1-BC0E-27D73A9027E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6E8-4BA1-BC0E-27D73A9027E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6E8-4BA1-BC0E-27D73A9027E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6E8-4BA1-BC0E-27D73A9027E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6E8-4BA1-BC0E-27D73A9027E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6E8-4BA1-BC0E-27D73A9027E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6E8-4BA1-BC0E-27D73A9027E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6E8-4BA1-BC0E-27D73A9027E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6E8-4BA1-BC0E-27D73A9027E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6E8-4BA1-BC0E-27D73A9027E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6E8-4BA1-BC0E-27D73A9027E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6E8-4BA1-BC0E-27D73A9027E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6E8-4BA1-BC0E-27D73A9027E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6E8-4BA1-BC0E-27D73A9027E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6E8-4BA1-BC0E-27D73A9027E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6E8-4BA1-BC0E-27D73A9027E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6E8-4BA1-BC0E-27D73A9027E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6E8-4BA1-BC0E-27D73A9027E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6E8-4BA1-BC0E-27D73A9027E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6E8-4BA1-BC0E-27D73A9027E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6E8-4BA1-BC0E-27D73A9027E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6E8-4BA1-BC0E-27D73A9027E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6E8-4BA1-BC0E-27D73A9027E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6E8-4BA1-BC0E-27D73A9027E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6E8-4BA1-BC0E-27D73A9027E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6E8-4BA1-BC0E-27D73A9027E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6E8-4BA1-BC0E-27D73A9027E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6E8-4BA1-BC0E-27D73A9027E5}"/>
                </c:ext>
              </c:extLst>
            </c:dLbl>
            <c:spPr>
              <a:gradFill>
                <a:gsLst>
                  <a:gs pos="0">
                    <a:srgbClr val="4F81BD">
                      <a:lumMod val="5000"/>
                      <a:lumOff val="95000"/>
                      <a:alpha val="30000"/>
                    </a:srgbClr>
                  </a:gs>
                  <a:gs pos="97000">
                    <a:srgbClr val="00B0F0"/>
                  </a:gs>
                  <a:gs pos="50000">
                    <a:srgbClr val="ECF1F8"/>
                  </a:gs>
                </a:gsLst>
                <a:lin ang="5400000" scaled="1"/>
              </a:gradFill>
              <a:ln w="6350">
                <a:solidFill>
                  <a:srgbClr val="00B0F0"/>
                </a:solidFill>
              </a:ln>
              <a:effectLst/>
            </c:spPr>
            <c:txPr>
              <a:bodyPr rot="0" vertOverflow="overflow" horzOverflow="overflow" vert="horz" wrap="none" lIns="36000" tIns="36000" rIns="36000" bIns="36000" anchor="ctr" anchorCtr="0">
                <a:spAutoFit/>
              </a:bodyPr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Spots!$B$3:$B$205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6">
                  <c:v>2</c:v>
                </c:pt>
                <c:pt idx="27">
                  <c:v>2</c:v>
                </c:pt>
                <c:pt idx="29">
                  <c:v>-10</c:v>
                </c:pt>
                <c:pt idx="30">
                  <c:v>10</c:v>
                </c:pt>
                <c:pt idx="31">
                  <c:v>10</c:v>
                </c:pt>
                <c:pt idx="32">
                  <c:v>-10</c:v>
                </c:pt>
              </c:numCache>
            </c:numRef>
          </c:xVal>
          <c:yVal>
            <c:numRef>
              <c:f>Spots!$C$3:$C$205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2">
                  <c:v>-1</c:v>
                </c:pt>
                <c:pt idx="13">
                  <c:v>-2</c:v>
                </c:pt>
                <c:pt idx="14">
                  <c:v>-3</c:v>
                </c:pt>
                <c:pt idx="15">
                  <c:v>-4</c:v>
                </c:pt>
                <c:pt idx="16">
                  <c:v>-5</c:v>
                </c:pt>
                <c:pt idx="17">
                  <c:v>-6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6">
                  <c:v>8</c:v>
                </c:pt>
                <c:pt idx="27">
                  <c:v>-8</c:v>
                </c:pt>
                <c:pt idx="29">
                  <c:v>-10</c:v>
                </c:pt>
                <c:pt idx="30">
                  <c:v>-10</c:v>
                </c:pt>
                <c:pt idx="31">
                  <c:v>10</c:v>
                </c:pt>
                <c:pt idx="32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Spots!$A$3:$A$127</c15:f>
                <c15:dlblRangeCache>
                  <c:ptCount val="125"/>
                  <c:pt idx="0">
                    <c:v>Intro</c:v>
                  </c:pt>
                  <c:pt idx="1">
                    <c:v>Features</c:v>
                  </c:pt>
                  <c:pt idx="2">
                    <c:v>Applications</c:v>
                  </c:pt>
                  <c:pt idx="3">
                    <c:v>Benefits</c:v>
                  </c:pt>
                  <c:pt idx="5">
                    <c:v>Feature1</c:v>
                  </c:pt>
                  <c:pt idx="6">
                    <c:v>Feature2</c:v>
                  </c:pt>
                  <c:pt idx="7">
                    <c:v>Feature3</c:v>
                  </c:pt>
                  <c:pt idx="8">
                    <c:v>Feature4</c:v>
                  </c:pt>
                  <c:pt idx="9">
                    <c:v>Feature5</c:v>
                  </c:pt>
                  <c:pt idx="10">
                    <c:v>Feature6</c:v>
                  </c:pt>
                  <c:pt idx="12">
                    <c:v>Application1</c:v>
                  </c:pt>
                  <c:pt idx="13">
                    <c:v>Application2</c:v>
                  </c:pt>
                  <c:pt idx="14">
                    <c:v>Application3</c:v>
                  </c:pt>
                  <c:pt idx="15">
                    <c:v>Application4</c:v>
                  </c:pt>
                  <c:pt idx="16">
                    <c:v>Application5</c:v>
                  </c:pt>
                  <c:pt idx="17">
                    <c:v>Application6</c:v>
                  </c:pt>
                  <c:pt idx="19">
                    <c:v>Benefit1</c:v>
                  </c:pt>
                  <c:pt idx="20">
                    <c:v>Benefit2</c:v>
                  </c:pt>
                  <c:pt idx="21">
                    <c:v>Benefit3</c:v>
                  </c:pt>
                  <c:pt idx="22">
                    <c:v>Benefit4</c:v>
                  </c:pt>
                  <c:pt idx="23">
                    <c:v>Benefit5</c:v>
                  </c:pt>
                  <c:pt idx="24">
                    <c:v>Benefit6</c:v>
                  </c:pt>
                  <c:pt idx="26">
                    <c:v>Teleport1</c:v>
                  </c:pt>
                  <c:pt idx="27">
                    <c:v>Teleport2</c:v>
                  </c:pt>
                  <c:pt idx="29">
                    <c:v>Blank_1</c:v>
                  </c:pt>
                  <c:pt idx="30">
                    <c:v>Blank_2</c:v>
                  </c:pt>
                  <c:pt idx="31">
                    <c:v>Blank_3</c:v>
                  </c:pt>
                  <c:pt idx="32">
                    <c:v>Blank_4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C7-E6E8-4BA1-BC0E-27D73A9027E5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99414528"/>
        <c:axId val="199416448"/>
      </c:scatterChart>
      <c:valAx>
        <c:axId val="199414528"/>
        <c:scaling>
          <c:orientation val="minMax"/>
          <c:max val="10"/>
          <c:min val="-1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X</a:t>
                </a:r>
              </a:p>
            </c:rich>
          </c:tx>
          <c:layout>
            <c:manualLayout>
              <c:xMode val="edge"/>
              <c:yMode val="edge"/>
              <c:x val="0.95874573997289791"/>
              <c:y val="0.47621384118975069"/>
            </c:manualLayout>
          </c:layout>
          <c:overlay val="0"/>
          <c:spPr>
            <a:solidFill>
              <a:schemeClr val="bg1"/>
            </a:solidFill>
          </c:spPr>
        </c:title>
        <c:numFmt formatCode="General" sourceLinked="1"/>
        <c:majorTickMark val="none"/>
        <c:minorTickMark val="none"/>
        <c:tickLblPos val="low"/>
        <c:txPr>
          <a:bodyPr/>
          <a:lstStyle/>
          <a:p>
            <a:pPr>
              <a:defRPr sz="1200"/>
            </a:pPr>
            <a:endParaRPr lang="en-US"/>
          </a:p>
        </c:txPr>
        <c:crossAx val="199416448"/>
        <c:crossesAt val="0"/>
        <c:crossBetween val="midCat"/>
        <c:majorUnit val="2"/>
      </c:valAx>
      <c:valAx>
        <c:axId val="199416448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/>
        </c:spPr>
        <c:txPr>
          <a:bodyPr rot="0" vert="horz" anchor="ctr" anchorCtr="0"/>
          <a:lstStyle/>
          <a:p>
            <a:pPr>
              <a:defRPr sz="1200"/>
            </a:pPr>
            <a:endParaRPr lang="en-US"/>
          </a:p>
        </c:txPr>
        <c:crossAx val="199414528"/>
        <c:crosses val="autoZero"/>
        <c:crossBetween val="midCat"/>
        <c:majorUnit val="2"/>
      </c:valAx>
      <c:spPr>
        <a:ln w="9525">
          <a:solidFill>
            <a:srgbClr val="00B0F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Paths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4580562774131951"/>
          <c:y val="4.465844965089530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0251572327044023E-2"/>
          <c:y val="5.6903988348981763E-2"/>
          <c:w val="0.90241280731846774"/>
          <c:h val="0.89848468587552532"/>
        </c:manualLayout>
      </c:layout>
      <c:scatterChart>
        <c:scatterStyle val="lineMarker"/>
        <c:varyColors val="0"/>
        <c:ser>
          <c:idx val="1"/>
          <c:order val="0"/>
          <c:tx>
            <c:strRef>
              <c:f>Paths!$C$1</c:f>
              <c:strCache>
                <c:ptCount val="1"/>
                <c:pt idx="0">
                  <c:v>Paths</c:v>
                </c:pt>
              </c:strCache>
            </c:strRef>
          </c:tx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Paths!$A$2:$A$1000</c:f>
              <c:numCache>
                <c:formatCode>General</c:formatCode>
                <c:ptCount val="999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0</c:v>
                </c:pt>
                <c:pt idx="10">
                  <c:v>0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0</c:v>
                </c:pt>
                <c:pt idx="31">
                  <c:v>0</c:v>
                </c:pt>
                <c:pt idx="33">
                  <c:v>2</c:v>
                </c:pt>
                <c:pt idx="34">
                  <c:v>2</c:v>
                </c:pt>
                <c:pt idx="36">
                  <c:v>2</c:v>
                </c:pt>
                <c:pt idx="37">
                  <c:v>2</c:v>
                </c:pt>
                <c:pt idx="39">
                  <c:v>2</c:v>
                </c:pt>
                <c:pt idx="40">
                  <c:v>2</c:v>
                </c:pt>
                <c:pt idx="42">
                  <c:v>2</c:v>
                </c:pt>
                <c:pt idx="43">
                  <c:v>2</c:v>
                </c:pt>
                <c:pt idx="45">
                  <c:v>2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1">
                  <c:v>0</c:v>
                </c:pt>
                <c:pt idx="52">
                  <c:v>0</c:v>
                </c:pt>
                <c:pt idx="54">
                  <c:v>3</c:v>
                </c:pt>
                <c:pt idx="55">
                  <c:v>3</c:v>
                </c:pt>
                <c:pt idx="57">
                  <c:v>3</c:v>
                </c:pt>
                <c:pt idx="58">
                  <c:v>3</c:v>
                </c:pt>
                <c:pt idx="60">
                  <c:v>3</c:v>
                </c:pt>
                <c:pt idx="61">
                  <c:v>3</c:v>
                </c:pt>
                <c:pt idx="63">
                  <c:v>3</c:v>
                </c:pt>
                <c:pt idx="64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0">
                  <c:v>3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10</c:v>
                </c:pt>
                <c:pt idx="81">
                  <c:v>10</c:v>
                </c:pt>
                <c:pt idx="82">
                  <c:v>10</c:v>
                </c:pt>
                <c:pt idx="84">
                  <c:v>10</c:v>
                </c:pt>
                <c:pt idx="85">
                  <c:v>-10</c:v>
                </c:pt>
                <c:pt idx="87">
                  <c:v>-10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3</c:v>
                </c:pt>
                <c:pt idx="122">
                  <c:v>3</c:v>
                </c:pt>
                <c:pt idx="123">
                  <c:v>1</c:v>
                </c:pt>
                <c:pt idx="124">
                  <c:v>1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</c:numCache>
            </c:numRef>
          </c:xVal>
          <c:yVal>
            <c:numRef>
              <c:f>Paths!$B$2:$B$1000</c:f>
              <c:numCache>
                <c:formatCode>General</c:formatCode>
                <c:ptCount val="999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1</c:v>
                </c:pt>
                <c:pt idx="15">
                  <c:v>1</c:v>
                </c:pt>
                <c:pt idx="16">
                  <c:v>2</c:v>
                </c:pt>
                <c:pt idx="18">
                  <c:v>2</c:v>
                </c:pt>
                <c:pt idx="19">
                  <c:v>3</c:v>
                </c:pt>
                <c:pt idx="21">
                  <c:v>3</c:v>
                </c:pt>
                <c:pt idx="22">
                  <c:v>4</c:v>
                </c:pt>
                <c:pt idx="24">
                  <c:v>4</c:v>
                </c:pt>
                <c:pt idx="25">
                  <c:v>5</c:v>
                </c:pt>
                <c:pt idx="27">
                  <c:v>5</c:v>
                </c:pt>
                <c:pt idx="28">
                  <c:v>6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-1</c:v>
                </c:pt>
                <c:pt idx="36">
                  <c:v>-1</c:v>
                </c:pt>
                <c:pt idx="37">
                  <c:v>-2</c:v>
                </c:pt>
                <c:pt idx="39">
                  <c:v>-2</c:v>
                </c:pt>
                <c:pt idx="40">
                  <c:v>-3</c:v>
                </c:pt>
                <c:pt idx="42">
                  <c:v>-3</c:v>
                </c:pt>
                <c:pt idx="43">
                  <c:v>-4</c:v>
                </c:pt>
                <c:pt idx="45">
                  <c:v>-4</c:v>
                </c:pt>
                <c:pt idx="46">
                  <c:v>-5</c:v>
                </c:pt>
                <c:pt idx="48">
                  <c:v>-5</c:v>
                </c:pt>
                <c:pt idx="49">
                  <c:v>-6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1</c:v>
                </c:pt>
                <c:pt idx="57">
                  <c:v>1</c:v>
                </c:pt>
                <c:pt idx="58">
                  <c:v>2</c:v>
                </c:pt>
                <c:pt idx="60">
                  <c:v>2</c:v>
                </c:pt>
                <c:pt idx="61">
                  <c:v>3</c:v>
                </c:pt>
                <c:pt idx="63">
                  <c:v>3</c:v>
                </c:pt>
                <c:pt idx="64">
                  <c:v>4</c:v>
                </c:pt>
                <c:pt idx="66">
                  <c:v>4</c:v>
                </c:pt>
                <c:pt idx="67">
                  <c:v>5</c:v>
                </c:pt>
                <c:pt idx="69">
                  <c:v>5</c:v>
                </c:pt>
                <c:pt idx="70">
                  <c:v>6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-10</c:v>
                </c:pt>
                <c:pt idx="81">
                  <c:v>-10</c:v>
                </c:pt>
                <c:pt idx="82">
                  <c:v>10</c:v>
                </c:pt>
                <c:pt idx="84">
                  <c:v>10</c:v>
                </c:pt>
                <c:pt idx="85">
                  <c:v>10</c:v>
                </c:pt>
                <c:pt idx="87">
                  <c:v>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6</c:v>
                </c:pt>
                <c:pt idx="122">
                  <c:v>7</c:v>
                </c:pt>
                <c:pt idx="123">
                  <c:v>7</c:v>
                </c:pt>
                <c:pt idx="124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AD-403F-AE92-56ED7C115FE4}"/>
            </c:ext>
          </c:extLst>
        </c:ser>
        <c:ser>
          <c:idx val="0"/>
          <c:order val="1"/>
          <c:tx>
            <c:strRef>
              <c:f>Spots!$C$1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gradFill>
                <a:gsLst>
                  <a:gs pos="0">
                    <a:srgbClr val="4F81BD">
                      <a:lumMod val="5000"/>
                      <a:lumOff val="95000"/>
                    </a:srgbClr>
                  </a:gs>
                  <a:gs pos="100000">
                    <a:srgbClr val="21C5FF"/>
                  </a:gs>
                </a:gsLst>
                <a:lin ang="5400000" scaled="1"/>
              </a:gradFill>
              <a:ln w="3175">
                <a:solidFill>
                  <a:schemeClr val="accent1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46AD-403F-AE92-56ED7C115FE4}"/>
              </c:ext>
            </c:extLst>
          </c:dPt>
          <c:dLbls>
            <c:dLbl>
              <c:idx val="0"/>
              <c:layout>
                <c:manualLayout>
                  <c:x val="-4.1369260716376088E-2"/>
                  <c:y val="-2.2029921391318923E-2"/>
                </c:manualLayout>
              </c:layout>
              <c:tx>
                <c:rich>
                  <a:bodyPr/>
                  <a:lstStyle/>
                  <a:p>
                    <a:fld id="{454E2772-6582-4BD7-BA86-90F1EB8C81B3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6AD-403F-AE92-56ED7C115FE4}"/>
                </c:ext>
              </c:extLst>
            </c:dLbl>
            <c:dLbl>
              <c:idx val="1"/>
              <c:layout>
                <c:manualLayout>
                  <c:x val="-4.0498287057951304E-2"/>
                  <c:y val="-2.1214557470474217E-2"/>
                </c:manualLayout>
              </c:layout>
              <c:tx>
                <c:rich>
                  <a:bodyPr/>
                  <a:lstStyle/>
                  <a:p>
                    <a:fld id="{5AB0C9D1-83EC-4104-A0C2-441B14FA3761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6AD-403F-AE92-56ED7C115FE4}"/>
                </c:ext>
              </c:extLst>
            </c:dLbl>
            <c:dLbl>
              <c:idx val="2"/>
              <c:layout>
                <c:manualLayout>
                  <c:x val="-3.4403306580179066E-2"/>
                  <c:y val="-2.11276811635428E-2"/>
                </c:manualLayout>
              </c:layout>
              <c:tx>
                <c:rich>
                  <a:bodyPr/>
                  <a:lstStyle/>
                  <a:p>
                    <a:fld id="{342C447F-2747-4E55-82AA-E583FC6283C7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6AD-403F-AE92-56ED7C115FE4}"/>
                </c:ext>
              </c:extLst>
            </c:dLbl>
            <c:dLbl>
              <c:idx val="3"/>
              <c:layout>
                <c:manualLayout>
                  <c:x val="-1.1812127831569211E-2"/>
                  <c:y val="-2.121630321186636E-2"/>
                </c:manualLayout>
              </c:layout>
              <c:tx>
                <c:rich>
                  <a:bodyPr/>
                  <a:lstStyle/>
                  <a:p>
                    <a:fld id="{C3268FC5-649E-411B-A9A1-4DAF577A63D0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6AD-403F-AE92-56ED7C115F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AD-403F-AE92-56ED7C115F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655152-E543-4F36-BCF8-7EF4004FCB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AD-403F-AE92-56ED7C115F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0716BF-5999-45AE-A6CA-D46D642CD2A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AD-403F-AE92-56ED7C115F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A29E12-B0EB-4353-B5B4-9EA341DBA06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AD-403F-AE92-56ED7C115F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85D494-AE20-4E5D-80E5-2988C5D156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AD-403F-AE92-56ED7C115F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B94614-A0A1-46AE-8941-567D0ECBE77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AD-403F-AE92-56ED7C115F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F95697-74C7-46BD-ACBD-AEBFC11F453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AD-403F-AE92-56ED7C115F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AD-403F-AE92-56ED7C115F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CEEA59-0F06-40F4-8CEB-3B0679388FD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AD-403F-AE92-56ED7C115F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4750B4-1393-4D56-BE49-529155B4B6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AD-403F-AE92-56ED7C115F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E8C1A0-80D2-489E-8F1F-FDD2351169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AD-403F-AE92-56ED7C115F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CA0024-3B2C-4EB4-9BC8-89621EBEF5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AD-403F-AE92-56ED7C115F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7DB122-DB50-43D4-9B59-CDC42625A02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AD-403F-AE92-56ED7C115F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0483D9-EFA7-488F-B1C1-63EB41570F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AD-403F-AE92-56ED7C115F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AD-403F-AE92-56ED7C115F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AC7AEA-A1E2-4D97-B279-26B32D359D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AD-403F-AE92-56ED7C115F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ED37AC9-4D9E-433D-83CB-A82FD59599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AD-403F-AE92-56ED7C115F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A74E8F-6FB7-4AFD-A091-898B950466B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AD-403F-AE92-56ED7C115F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D26B18-FCF3-4A35-95A0-E4058567F8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AD-403F-AE92-56ED7C115F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A2B268-DE32-4DD4-85B2-7E6282B556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AD-403F-AE92-56ED7C115F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8E7969-ED5C-4854-B93D-E7D1927E1BE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AD-403F-AE92-56ED7C115F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AD-403F-AE92-56ED7C115F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B87A7A-782F-428F-A73F-9CF3EA49D34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AD-403F-AE92-56ED7C115F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EB77A7-EA53-470C-9B0A-0EBC842972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AD-403F-AE92-56ED7C115F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AD-403F-AE92-56ED7C115F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F924F6C-A1C8-40C3-9F64-F655AD80AB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AD-403F-AE92-56ED7C115F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085645-82F4-4F8C-ADB2-A735278E1C0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AD-403F-AE92-56ED7C115F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4D1AC40-6040-417D-A84E-DD5DF32CCA8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AD-403F-AE92-56ED7C115F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8B480E7-3619-445E-A7E0-1A32DD5018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AD-403F-AE92-56ED7C115F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AD-403F-AE92-56ED7C115F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AD-403F-AE92-56ED7C115F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AD-403F-AE92-56ED7C115F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AD-403F-AE92-56ED7C115F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AD-403F-AE92-56ED7C115F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AD-403F-AE92-56ED7C115F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AD-403F-AE92-56ED7C115F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AD-403F-AE92-56ED7C115F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AD-403F-AE92-56ED7C115F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AD-403F-AE92-56ED7C115F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AD-403F-AE92-56ED7C115F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AD-403F-AE92-56ED7C115F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AD-403F-AE92-56ED7C115F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AD-403F-AE92-56ED7C115F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AD-403F-AE92-56ED7C115F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AD-403F-AE92-56ED7C115F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AD-403F-AE92-56ED7C115F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AD-403F-AE92-56ED7C115F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AD-403F-AE92-56ED7C115F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AD-403F-AE92-56ED7C115F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AD-403F-AE92-56ED7C115F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AD-403F-AE92-56ED7C115F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AD-403F-AE92-56ED7C115F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AD-403F-AE92-56ED7C115F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AD-403F-AE92-56ED7C115F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AD-403F-AE92-56ED7C115F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AD-403F-AE92-56ED7C115F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AD-403F-AE92-56ED7C115F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AD-403F-AE92-56ED7C115F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AD-403F-AE92-56ED7C115F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AD-403F-AE92-56ED7C115F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AD-403F-AE92-56ED7C115F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AD-403F-AE92-56ED7C115F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AD-403F-AE92-56ED7C115F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AD-403F-AE92-56ED7C115F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AD-403F-AE92-56ED7C115F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AD-403F-AE92-56ED7C115F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AD-403F-AE92-56ED7C115F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AD-403F-AE92-56ED7C115F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AD-403F-AE92-56ED7C115F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AD-403F-AE92-56ED7C115F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AD-403F-AE92-56ED7C115F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AD-403F-AE92-56ED7C115F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AD-403F-AE92-56ED7C115F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AD-403F-AE92-56ED7C115F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AD-403F-AE92-56ED7C115F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AD-403F-AE92-56ED7C115F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AD-403F-AE92-56ED7C115F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AD-403F-AE92-56ED7C115F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AD-403F-AE92-56ED7C115F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AD-403F-AE92-56ED7C115F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AD-403F-AE92-56ED7C115F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AD-403F-AE92-56ED7C115F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AD-403F-AE92-56ED7C115F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AD-403F-AE92-56ED7C115F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AD-403F-AE92-56ED7C115F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AD-403F-AE92-56ED7C115F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AD-403F-AE92-56ED7C115F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AD-403F-AE92-56ED7C115F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AD-403F-AE92-56ED7C115F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AD-403F-AE92-56ED7C115F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AD-403F-AE92-56ED7C115F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AD-403F-AE92-56ED7C115F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AD-403F-AE92-56ED7C115F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AD-403F-AE92-56ED7C115F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AD-403F-AE92-56ED7C115F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AD-403F-AE92-56ED7C115F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AD-403F-AE92-56ED7C115F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AD-403F-AE92-56ED7C115F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AD-403F-AE92-56ED7C115F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AD-403F-AE92-56ED7C115F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AD-403F-AE92-56ED7C115F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AD-403F-AE92-56ED7C115F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AD-403F-AE92-56ED7C115F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AD-403F-AE92-56ED7C115F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AD-403F-AE92-56ED7C115F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AD-403F-AE92-56ED7C115F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AD-403F-AE92-56ED7C115F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AD-403F-AE92-56ED7C115F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AD-403F-AE92-56ED7C115F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AD-403F-AE92-56ED7C115F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AD-403F-AE92-56ED7C115F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AD-403F-AE92-56ED7C115F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AD-403F-AE92-56ED7C115F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AD-403F-AE92-56ED7C115F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AD-403F-AE92-56ED7C115F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AD-403F-AE92-56ED7C115F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AD-403F-AE92-56ED7C115F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AD-403F-AE92-56ED7C115F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AD-403F-AE92-56ED7C115F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AD-403F-AE92-56ED7C115F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AD-403F-AE92-56ED7C115F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AD-403F-AE92-56ED7C115F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AD-403F-AE92-56ED7C115F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AD-403F-AE92-56ED7C115F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AD-403F-AE92-56ED7C115F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AD-403F-AE92-56ED7C115F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AD-403F-AE92-56ED7C115F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AD-403F-AE92-56ED7C115F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AD-403F-AE92-56ED7C115F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AD-403F-AE92-56ED7C115F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AD-403F-AE92-56ED7C115F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AD-403F-AE92-56ED7C115F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AD-403F-AE92-56ED7C115F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AD-403F-AE92-56ED7C115F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AD-403F-AE92-56ED7C115F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AD-403F-AE92-56ED7C115F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AD-403F-AE92-56ED7C115F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AD-403F-AE92-56ED7C115F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AD-403F-AE92-56ED7C115F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AD-403F-AE92-56ED7C115F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AD-403F-AE92-56ED7C115F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AD-403F-AE92-56ED7C115F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AD-403F-AE92-56ED7C115F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AD-403F-AE92-56ED7C115F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AD-403F-AE92-56ED7C115F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AD-403F-AE92-56ED7C115F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AD-403F-AE92-56ED7C115F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AD-403F-AE92-56ED7C115F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AD-403F-AE92-56ED7C115F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AD-403F-AE92-56ED7C115F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AD-403F-AE92-56ED7C115F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AD-403F-AE92-56ED7C115F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AD-403F-AE92-56ED7C115F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AD-403F-AE92-56ED7C115F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AD-403F-AE92-56ED7C115F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AD-403F-AE92-56ED7C115F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AD-403F-AE92-56ED7C115F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AD-403F-AE92-56ED7C115F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AD-403F-AE92-56ED7C115F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AD-403F-AE92-56ED7C115F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AD-403F-AE92-56ED7C115F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AD-403F-AE92-56ED7C115F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AD-403F-AE92-56ED7C115F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AD-403F-AE92-56ED7C115F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AD-403F-AE92-56ED7C115F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AD-403F-AE92-56ED7C115F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AD-403F-AE92-56ED7C115F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AD-403F-AE92-56ED7C115F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AD-403F-AE92-56ED7C115F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AD-403F-AE92-56ED7C115F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AD-403F-AE92-56ED7C115F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AD-403F-AE92-56ED7C115F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AD-403F-AE92-56ED7C115F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AD-403F-AE92-56ED7C115F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AD-403F-AE92-56ED7C115F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AD-403F-AE92-56ED7C115F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AD-403F-AE92-56ED7C115F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AD-403F-AE92-56ED7C115F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AD-403F-AE92-56ED7C115F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AD-403F-AE92-56ED7C115F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AD-403F-AE92-56ED7C115F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AD-403F-AE92-56ED7C115F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AD-403F-AE92-56ED7C115F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AD-403F-AE92-56ED7C115F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AD-403F-AE92-56ED7C115F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AD-403F-AE92-56ED7C115F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AD-403F-AE92-56ED7C115F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AD-403F-AE92-56ED7C115F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AD-403F-AE92-56ED7C115F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AD-403F-AE92-56ED7C115F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AD-403F-AE92-56ED7C115F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AD-403F-AE92-56ED7C115F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AD-403F-AE92-56ED7C115F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AD-403F-AE92-56ED7C115F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8E-42EC-B5FC-4E3E9168C1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8E-42EC-B5FC-4E3E9168C1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8E-42EC-B5FC-4E3E9168C1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8E-42EC-B5FC-4E3E9168C1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8E-42EC-B5FC-4E3E9168C1BF}"/>
                </c:ext>
              </c:extLst>
            </c:dLbl>
            <c:spPr>
              <a:gradFill>
                <a:gsLst>
                  <a:gs pos="0">
                    <a:srgbClr val="4F81BD">
                      <a:lumMod val="5000"/>
                      <a:lumOff val="95000"/>
                      <a:alpha val="30000"/>
                    </a:srgbClr>
                  </a:gs>
                  <a:gs pos="97000">
                    <a:srgbClr val="00B0F0"/>
                  </a:gs>
                  <a:gs pos="50000">
                    <a:srgbClr val="ECF1F8"/>
                  </a:gs>
                </a:gsLst>
                <a:lin ang="5400000" scaled="1"/>
              </a:gradFill>
              <a:ln w="6350">
                <a:solidFill>
                  <a:srgbClr val="00B0F0"/>
                </a:solidFill>
              </a:ln>
              <a:effectLst/>
            </c:spPr>
            <c:txPr>
              <a:bodyPr rot="0" vertOverflow="overflow" horzOverflow="overflow" vert="horz" wrap="none" lIns="36000" tIns="36000" rIns="36000" bIns="36000" anchor="ctr" anchorCtr="0">
                <a:spAutoFit/>
              </a:bodyPr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Spots!$B$3:$B$205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6">
                  <c:v>2</c:v>
                </c:pt>
                <c:pt idx="27">
                  <c:v>2</c:v>
                </c:pt>
                <c:pt idx="29">
                  <c:v>-10</c:v>
                </c:pt>
                <c:pt idx="30">
                  <c:v>10</c:v>
                </c:pt>
                <c:pt idx="31">
                  <c:v>10</c:v>
                </c:pt>
                <c:pt idx="32">
                  <c:v>-10</c:v>
                </c:pt>
              </c:numCache>
            </c:numRef>
          </c:xVal>
          <c:yVal>
            <c:numRef>
              <c:f>Spots!$C$3:$C$205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2">
                  <c:v>-1</c:v>
                </c:pt>
                <c:pt idx="13">
                  <c:v>-2</c:v>
                </c:pt>
                <c:pt idx="14">
                  <c:v>-3</c:v>
                </c:pt>
                <c:pt idx="15">
                  <c:v>-4</c:v>
                </c:pt>
                <c:pt idx="16">
                  <c:v>-5</c:v>
                </c:pt>
                <c:pt idx="17">
                  <c:v>-6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6">
                  <c:v>8</c:v>
                </c:pt>
                <c:pt idx="27">
                  <c:v>-8</c:v>
                </c:pt>
                <c:pt idx="29">
                  <c:v>-10</c:v>
                </c:pt>
                <c:pt idx="30">
                  <c:v>-10</c:v>
                </c:pt>
                <c:pt idx="31">
                  <c:v>10</c:v>
                </c:pt>
                <c:pt idx="32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Spots!$A$3:$A$127</c15:f>
                <c15:dlblRangeCache>
                  <c:ptCount val="125"/>
                  <c:pt idx="0">
                    <c:v>Intro</c:v>
                  </c:pt>
                  <c:pt idx="1">
                    <c:v>Features</c:v>
                  </c:pt>
                  <c:pt idx="2">
                    <c:v>Applications</c:v>
                  </c:pt>
                  <c:pt idx="3">
                    <c:v>Benefits</c:v>
                  </c:pt>
                  <c:pt idx="5">
                    <c:v>Feature1</c:v>
                  </c:pt>
                  <c:pt idx="6">
                    <c:v>Feature2</c:v>
                  </c:pt>
                  <c:pt idx="7">
                    <c:v>Feature3</c:v>
                  </c:pt>
                  <c:pt idx="8">
                    <c:v>Feature4</c:v>
                  </c:pt>
                  <c:pt idx="9">
                    <c:v>Feature5</c:v>
                  </c:pt>
                  <c:pt idx="10">
                    <c:v>Feature6</c:v>
                  </c:pt>
                  <c:pt idx="12">
                    <c:v>Application1</c:v>
                  </c:pt>
                  <c:pt idx="13">
                    <c:v>Application2</c:v>
                  </c:pt>
                  <c:pt idx="14">
                    <c:v>Application3</c:v>
                  </c:pt>
                  <c:pt idx="15">
                    <c:v>Application4</c:v>
                  </c:pt>
                  <c:pt idx="16">
                    <c:v>Application5</c:v>
                  </c:pt>
                  <c:pt idx="17">
                    <c:v>Application6</c:v>
                  </c:pt>
                  <c:pt idx="19">
                    <c:v>Benefit1</c:v>
                  </c:pt>
                  <c:pt idx="20">
                    <c:v>Benefit2</c:v>
                  </c:pt>
                  <c:pt idx="21">
                    <c:v>Benefit3</c:v>
                  </c:pt>
                  <c:pt idx="22">
                    <c:v>Benefit4</c:v>
                  </c:pt>
                  <c:pt idx="23">
                    <c:v>Benefit5</c:v>
                  </c:pt>
                  <c:pt idx="24">
                    <c:v>Benefit6</c:v>
                  </c:pt>
                  <c:pt idx="26">
                    <c:v>Teleport1</c:v>
                  </c:pt>
                  <c:pt idx="27">
                    <c:v>Teleport2</c:v>
                  </c:pt>
                  <c:pt idx="29">
                    <c:v>Blank_1</c:v>
                  </c:pt>
                  <c:pt idx="30">
                    <c:v>Blank_2</c:v>
                  </c:pt>
                  <c:pt idx="31">
                    <c:v>Blank_3</c:v>
                  </c:pt>
                  <c:pt idx="32">
                    <c:v>Blank_4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C8-46AD-403F-AE92-56ED7C115FE4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99414528"/>
        <c:axId val="199416448"/>
      </c:scatterChart>
      <c:valAx>
        <c:axId val="199414528"/>
        <c:scaling>
          <c:orientation val="minMax"/>
          <c:max val="10"/>
          <c:min val="-1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X</a:t>
                </a:r>
              </a:p>
            </c:rich>
          </c:tx>
          <c:layout>
            <c:manualLayout>
              <c:xMode val="edge"/>
              <c:yMode val="edge"/>
              <c:x val="0.95874573997289791"/>
              <c:y val="0.47621384118975069"/>
            </c:manualLayout>
          </c:layout>
          <c:overlay val="0"/>
          <c:spPr>
            <a:solidFill>
              <a:schemeClr val="bg1"/>
            </a:solidFill>
          </c:spPr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99416448"/>
        <c:crossesAt val="0"/>
        <c:crossBetween val="midCat"/>
        <c:majorUnit val="2"/>
      </c:valAx>
      <c:valAx>
        <c:axId val="199416448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/>
        </c:spPr>
        <c:txPr>
          <a:bodyPr rot="0" vert="horz" anchor="ctr" anchorCtr="0"/>
          <a:lstStyle/>
          <a:p>
            <a:pPr>
              <a:defRPr sz="1200"/>
            </a:pPr>
            <a:endParaRPr lang="en-US"/>
          </a:p>
        </c:txPr>
        <c:crossAx val="199414528"/>
        <c:crosses val="autoZero"/>
        <c:crossBetween val="midCat"/>
        <c:majorUnit val="2"/>
      </c:valAx>
      <c:spPr>
        <a:ln w="9525">
          <a:solidFill>
            <a:srgbClr val="00B0F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 sz="1800" b="1" i="0" u="none" strike="noStrike" baseline="0">
                <a:effectLst/>
              </a:rPr>
              <a:t>Grid for an manual p</a:t>
            </a:r>
            <a:r>
              <a:rPr lang="en-IN"/>
              <a:t>ath creation  (Optional)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251572327044023E-2"/>
          <c:y val="5.6903988348981763E-2"/>
          <c:w val="0.90241280731846774"/>
          <c:h val="0.89848468587552532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A29A74-2519-46C4-9FEB-EF6A56098B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E22-4BEC-ACB0-D5E3631078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95D22C-BB4E-460F-8315-2024A96F521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22-4BEC-ACB0-D5E3631078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C7BFBF-04B0-4190-B599-2C6F37CDC7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22-4BEC-ACB0-D5E3631078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D3981B-B46D-465C-92CC-8F3EFDA524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22-4BEC-ACB0-D5E3631078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44819A-45F3-49A0-B38B-48DDA835AC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22-4BEC-ACB0-D5E3631078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76B0A5-9902-44B0-8743-D71031666DC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22-4BEC-ACB0-D5E3631078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815AFB-4F74-4EDD-A4C9-0DDD129432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22-4BEC-ACB0-D5E3631078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A9506A-83D8-4B14-A567-BDE01EEBB1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22-4BEC-ACB0-D5E3631078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AF99FE-4A0B-4A01-BA9F-97A63995589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22-4BEC-ACB0-D5E3631078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C935FE-AE73-49A5-B6CE-80465EFAFF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22-4BEC-ACB0-D5E3631078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D7233E-CF33-4715-9D1C-5845AFEAAA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22-4BEC-ACB0-D5E3631078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A23186-3215-47F0-A066-F5CCB8DACFC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22-4BEC-ACB0-D5E3631078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5CDAEF-1D66-45D1-8A67-FC92A34E20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22-4BEC-ACB0-D5E3631078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081164-6D5A-4F1C-9E87-17785C80803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22-4BEC-ACB0-D5E3631078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DB935E-00DC-4D97-B17A-8CB53F72D4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22-4BEC-ACB0-D5E3631078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E949B7-D4BC-49C5-B6FB-F2850E63BC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22-4BEC-ACB0-D5E3631078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FEACD0-C3B8-4391-B7C3-4D6055E3E17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22-4BEC-ACB0-D5E3631078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977D49C-9452-460F-8E3D-7696F10F07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22-4BEC-ACB0-D5E3631078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B85918-BF9F-4EB9-AFCA-02332C38639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22-4BEC-ACB0-D5E3631078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776373-4127-473A-92D1-7E1B336E279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22-4BEC-ACB0-D5E3631078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0A53B3-ADCA-4925-A11D-691276A14EB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22-4BEC-ACB0-D5E3631078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3F761B-F76F-4C09-9214-CB6FE0AA273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22-4BEC-ACB0-D5E3631078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7A4E95-7821-4580-8124-A3EAB16F879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22-4BEC-ACB0-D5E3631078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57EFC8-DB27-47AD-8CF4-842CCFA8C6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22-4BEC-ACB0-D5E3631078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EDC224-24B6-4DD4-BA93-462050FBE5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22-4BEC-ACB0-D5E3631078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1B4DA6-A1EB-4C09-8420-D70359C78A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22-4BEC-ACB0-D5E3631078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35BD50E-9100-478A-8114-C6FB03838E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22-4BEC-ACB0-D5E3631078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0020DC4-0246-4328-9336-2B712C6E759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22-4BEC-ACB0-D5E3631078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D0AC3F-111D-489C-B976-75170474C47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22-4BEC-ACB0-D5E3631078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19A7E7-88BE-4DFA-B9FF-340B2A539D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22-4BEC-ACB0-D5E3631078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8CAA11-ABA2-4D6F-95E1-0FDFE7396B2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22-4BEC-ACB0-D5E3631078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AE9098-181D-415C-8E96-3A0D0C8D77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22-4BEC-ACB0-D5E3631078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1983B1-D6EB-48F2-892E-2518BE431A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22-4BEC-ACB0-D5E3631078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3DB15F-A0C1-4B0B-A40C-50D755BD95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22-4BEC-ACB0-D5E3631078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E5401F-7854-4669-B3ED-4249BD486E8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22-4BEC-ACB0-D5E3631078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236148-85F9-4C49-801C-0B34925A04F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22-4BEC-ACB0-D5E3631078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4B98E3-27E7-4AAE-8E86-CBF8D0D72E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22-4BEC-ACB0-D5E3631078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DC669FD-9CC9-4D01-AC77-28E6105BA2D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22-4BEC-ACB0-D5E3631078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8CD1B2-5714-40C7-9E8C-313F8CD09B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22-4BEC-ACB0-D5E3631078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0D8F80-6B38-4BF6-84DF-61BFAC84855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22-4BEC-ACB0-D5E3631078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02965CE-E91F-4E32-B166-23E90099F7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22-4BEC-ACB0-D5E3631078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BC90C1B-833B-409E-B7B0-D27565B160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22-4BEC-ACB0-D5E3631078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D21285D-BF18-4AF2-9E8B-BE612CF4F1C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22-4BEC-ACB0-D5E3631078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46ABA0-328F-4915-AECC-E353846F4E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22-4BEC-ACB0-D5E3631078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26C71B7-0674-4DAC-9BFB-AA5F0ED675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22-4BEC-ACB0-D5E3631078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D981AD6-9D73-4DBA-9DD2-D700D1C5859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22-4BEC-ACB0-D5E3631078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A01C88F-2253-418A-ACCF-0D4141B4B3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22-4BEC-ACB0-D5E3631078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A75C03-CC44-4A59-97AF-EA12BB6117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22-4BEC-ACB0-D5E3631078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47EF21-8A9C-4EEB-AB0E-277037BF2DB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22-4BEC-ACB0-D5E3631078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465800-0045-47F5-8F12-09F21395EB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22-4BEC-ACB0-D5E3631078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3FCF2D-6566-4FBF-ACF4-092115D585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22-4BEC-ACB0-D5E3631078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2543BD-54D1-42B5-A52D-E16848F113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22-4BEC-ACB0-D5E3631078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F817E4-EF5E-466F-B6AD-E3E2B6E91F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22-4BEC-ACB0-D5E3631078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FA7063-B6A8-4F10-B34C-33CC9E0711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22-4BEC-ACB0-D5E3631078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8241802-BBBC-4CD7-9B54-9498AFF1F1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22-4BEC-ACB0-D5E3631078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A860FD-38B9-43E1-815C-B662E4FB5BC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22-4BEC-ACB0-D5E3631078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C07BFF0-AB5B-4176-84C4-174AFD2B04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22-4BEC-ACB0-D5E3631078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E2821E7-30B6-4D45-AAB7-174109006C6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22-4BEC-ACB0-D5E3631078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433734C-70B4-42DB-BFC8-29AD38EF973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22-4BEC-ACB0-D5E3631078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B1B3B48-EFB7-4715-AC6F-099A64DE821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22-4BEC-ACB0-D5E3631078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BE9C0E9-3BDB-4213-B221-132E8354E1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22-4BEC-ACB0-D5E3631078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7FBEC5-80B2-475E-A2F4-F2D2A77F0D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22-4BEC-ACB0-D5E3631078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55A8FB-5430-4F33-BC0E-3ACBE5AE6A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22-4BEC-ACB0-D5E3631078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913DEDB-C241-4522-94DE-D196C7611B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22-4BEC-ACB0-D5E3631078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3AA894C-952E-4A11-9316-D6E26B7ECBA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22-4BEC-ACB0-D5E3631078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6D6D60-2998-46B8-A572-AC53168496A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22-4BEC-ACB0-D5E3631078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6C7E639-F887-4381-ACDC-DEB0805D24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22-4BEC-ACB0-D5E3631078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1A2FF2-8BDC-4D76-BD52-0A8B05C0E1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22-4BEC-ACB0-D5E3631078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2031F75-448D-422F-BBC8-60E0D412B23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22-4BEC-ACB0-D5E3631078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0E00EE-0E63-4A35-B555-1A608FF738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22-4BEC-ACB0-D5E3631078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C68098-08D6-437D-8111-FC92AEB604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22-4BEC-ACB0-D5E3631078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999756-A717-4311-AB96-FE860A96C0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22-4BEC-ACB0-D5E3631078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BFD0A94-E168-452B-9EB6-1CF937BFF37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22-4BEC-ACB0-D5E3631078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45DA2E-A0A0-4148-A78B-67F2ED05750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22-4BEC-ACB0-D5E3631078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3A6584-8533-4801-AB92-5B6C05B77F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22-4BEC-ACB0-D5E3631078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7826DC1-E6F8-4304-B93C-EF5716F58D8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22-4BEC-ACB0-D5E3631078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5A130CB-5F0C-4D2F-8C0D-CE7343A0D31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22-4BEC-ACB0-D5E3631078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ED3C7A9-99FC-49BB-9FD2-32ECD97B8A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22-4BEC-ACB0-D5E3631078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128BF8C-230D-4F93-A94C-0E4E642759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22-4BEC-ACB0-D5E3631078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F20586-AB6C-424C-B48B-BDBA5279C6B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22-4BEC-ACB0-D5E3631078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9156D3-9EA2-4B21-9373-153E1929A07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22-4BEC-ACB0-D5E3631078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2DB75B-036D-4331-B264-80D0F741F9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22-4BEC-ACB0-D5E3631078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561615F-6B3B-4AD0-B923-3067A68552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22-4BEC-ACB0-D5E3631078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3E640D-8B7B-460F-A5B5-CD4651AF8C5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22-4BEC-ACB0-D5E3631078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4E269D8-746B-4FF3-BC75-9FD0EF0F29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22-4BEC-ACB0-D5E3631078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6E35FF-FB11-4E67-96C5-6ADB9BC9F8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22-4BEC-ACB0-D5E3631078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2DE56A-ECAF-43A0-B901-E7AC1E812A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22-4BEC-ACB0-D5E3631078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17F071-E3C3-4DC4-83E0-622B0EAF56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22-4BEC-ACB0-D5E3631078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1E75B0-3493-4075-9B4D-1E3FB2667E9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22-4BEC-ACB0-D5E3631078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387602-8CD4-4074-BB53-18189836EE9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22-4BEC-ACB0-D5E3631078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BD9665-95F1-414C-ACAF-C64294368A5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22-4BEC-ACB0-D5E3631078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9082D75-5468-4D96-B0E9-E9A68BC609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22-4BEC-ACB0-D5E3631078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0EB694-01B7-4764-AA02-6144ED7BCC2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22-4BEC-ACB0-D5E3631078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9AED92-174C-4DBF-BB67-E08CD27041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22-4BEC-ACB0-D5E3631078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6566DB-059C-426E-8797-6333A137EB6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22-4BEC-ACB0-D5E3631078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4D05B7-E925-405D-BCD6-3667C38A776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22-4BEC-ACB0-D5E3631078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1B53CC-8983-4E95-8BF4-F2193DF974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22-4BEC-ACB0-D5E3631078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565ACE3-322A-41C7-A692-1380E80CF0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22-4BEC-ACB0-D5E3631078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37F0317-94B9-4E62-AF37-C24362AC3C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22-4BEC-ACB0-D5E3631078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1B0224-A585-4C00-8BE6-988134FF31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22-4BEC-ACB0-D5E3631078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3D29A5-C949-44D2-B2D4-6930DE908C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E22-4BEC-ACB0-D5E3631078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4F442E-9FB2-4D94-9E64-6869657482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E22-4BEC-ACB0-D5E3631078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83FE025-21C2-4608-AB49-25CB906A523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E22-4BEC-ACB0-D5E3631078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3B2727-0E8C-41F4-AD31-3747C84BE6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E22-4BEC-ACB0-D5E3631078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9848FB-E543-4077-B942-48D521CDD5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E22-4BEC-ACB0-D5E3631078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C5AB53-5DD4-41BB-9BC4-75513A9B8D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E22-4BEC-ACB0-D5E3631078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0B1BD11-D202-4DE6-AA31-2B93A809135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E22-4BEC-ACB0-D5E3631078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69B96A-837B-44C1-A907-CBE054CCFD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E22-4BEC-ACB0-D5E3631078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A13957-AA28-4A86-B8F6-8E406E5A3DC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E22-4BEC-ACB0-D5E3631078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2E62BF-28E3-4C62-8FF5-92F1D22EB9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E22-4BEC-ACB0-D5E3631078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F421448-D35E-400F-BD24-11438480E3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E22-4BEC-ACB0-D5E3631078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53BF87-DE6F-41A3-AC5B-18792BCD67E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E22-4BEC-ACB0-D5E3631078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C1BF517-8CAA-4B30-8D9E-E91A7CF033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E22-4BEC-ACB0-D5E3631078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917E9F-82B1-458C-8181-8B8D40793F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E22-4BEC-ACB0-D5E3631078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6987AD2-FFED-4538-B724-77432C85AE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E22-4BEC-ACB0-D5E3631078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70179E-ED3C-4B6E-84C7-4870A994B74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E22-4BEC-ACB0-D5E3631078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8DC9920-D66F-441A-9180-9CFC3F2C329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E22-4BEC-ACB0-D5E3631078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81D7B9F-4CD4-4E2F-8C42-FEFBC57BB45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E22-4BEC-ACB0-D5E3631078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0B9AFE5-A680-40A9-979D-150519581B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E22-4BEC-ACB0-D5E3631078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6A40830-E74B-4EA2-B09B-F371E2F48E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E22-4BEC-ACB0-D5E3631078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91129C-BFFD-45D7-944F-67AD06564D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E22-4BEC-ACB0-D5E3631078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BFC0D2-502C-4168-AEB7-1F81E14F02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E22-4BEC-ACB0-D5E3631078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071AF4-4B2F-4681-AB4B-71FC244750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E22-4BEC-ACB0-D5E3631078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CDE982-ECE9-4426-A6E8-AD42893CAA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E22-4BEC-ACB0-D5E3631078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F1CFA1-8150-438B-B8EB-F1296A500B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E22-4BEC-ACB0-D5E3631078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8B21BF-B466-418A-B875-2A790C724C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E22-4BEC-ACB0-D5E3631078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1737E20-D7BE-47EF-8FFE-7F790FAFBC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E22-4BEC-ACB0-D5E3631078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9C0ADC-C769-48FA-B2B8-F13EBDB8B9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E22-4BEC-ACB0-D5E3631078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D651AC-4045-4B54-97F8-FE90CB65DBC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E22-4BEC-ACB0-D5E3631078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AB9F08-0E99-4315-88FA-9F74A4EB0D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E22-4BEC-ACB0-D5E3631078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B7CBBD2-F2F9-4077-B8C5-8ECB79B6D8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E22-4BEC-ACB0-D5E3631078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36B5AFC-28C2-42A5-902C-B079EF4E0D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E22-4BEC-ACB0-D5E3631078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06AE46F-D0C9-4FCF-9C23-201CFC14B4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E22-4BEC-ACB0-D5E3631078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0570E44-F4A7-443F-B384-70CBD379D2A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E22-4BEC-ACB0-D5E3631078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D16F61-7E88-497D-804F-CC329FB66FA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E22-4BEC-ACB0-D5E3631078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697BDC-372C-48C4-B557-A4A91B4187E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E22-4BEC-ACB0-D5E3631078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FBE3D3-DCB0-45AD-A9F9-29D7AEDE5D2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E22-4BEC-ACB0-D5E3631078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62661D-88D8-4EF6-901C-D29C7F24EB1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E22-4BEC-ACB0-D5E3631078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01C047-3995-4C41-9A9C-322970EF12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E22-4BEC-ACB0-D5E3631078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250F6BE-0DE2-4BEC-B8F8-7A770CD85AE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E22-4BEC-ACB0-D5E3631078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C8E75A-7CA6-4430-BE69-62EA326978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E22-4BEC-ACB0-D5E3631078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D4263C-D156-489B-8259-B99AD29C5D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E22-4BEC-ACB0-D5E3631078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6B7A13-5CAF-4E22-B46A-6B6C975CA2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E22-4BEC-ACB0-D5E3631078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E2344B-1809-4647-B100-9CC545CE2B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E22-4BEC-ACB0-D5E3631078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45D2D71-D535-41CB-BE97-17EFBAB7975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E22-4BEC-ACB0-D5E3631078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E98D4F5-5410-4C4A-9437-18BB09DB70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E22-4BEC-ACB0-D5E3631078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3C56F1-73AB-4AFF-B021-499B5FF8708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E22-4BEC-ACB0-D5E3631078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ECF115A-460A-4D00-8BAF-B375BBAC26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E22-4BEC-ACB0-D5E3631078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909078-DB7C-44AF-A6D2-01825DA666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E22-4BEC-ACB0-D5E3631078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1684653-7D4D-458B-ABA3-61F054AC87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E22-4BEC-ACB0-D5E3631078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E391DE-7011-474A-89FF-A8E79081844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E22-4BEC-ACB0-D5E3631078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E0484D-ADD8-4E9F-B5C4-5FE0C088C5C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E22-4BEC-ACB0-D5E3631078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ACEA483-F88F-43B1-BB7F-0040216547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E22-4BEC-ACB0-D5E3631078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0E5A60-13A7-4482-941B-DC0A4A089C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E22-4BEC-ACB0-D5E3631078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484474-4829-4D25-B875-1718D98CE54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E22-4BEC-ACB0-D5E3631078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C01A7A-AEFF-4085-AA18-D52922127B4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E22-4BEC-ACB0-D5E3631078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4D02C7D-BC4F-48A6-AF7A-53949F226C1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E22-4BEC-ACB0-D5E3631078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695EF9-51D8-4CA4-9081-0BA07C62A0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E22-4BEC-ACB0-D5E3631078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144638-4E78-422F-9620-05586588C6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E22-4BEC-ACB0-D5E3631078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E4C8E1-90D9-4C74-8874-3EB6189A0A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E22-4BEC-ACB0-D5E3631078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7A997F-DDA1-4A7D-BDA6-7BBCB67073F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E22-4BEC-ACB0-D5E3631078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F118BD-8432-417A-851A-27F91DE9D27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E22-4BEC-ACB0-D5E3631078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2E96AB-F770-4CEC-911B-94980B0F00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E22-4BEC-ACB0-D5E3631078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59515F-0859-414B-A240-775FC755D99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E22-4BEC-ACB0-D5E3631078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7F4BB67-C50A-4922-8EEB-A219C3B1CD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E22-4BEC-ACB0-D5E3631078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6C2B1A-7B61-488A-ADFF-6549E40D7F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E22-4BEC-ACB0-D5E3631078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71F13D3-2AA4-4581-BC4B-65E85A78AD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E22-4BEC-ACB0-D5E3631078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F72038-E9E5-495C-A476-8CDB4D25F6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E22-4BEC-ACB0-D5E3631078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0BF268-050F-4D4A-B667-13CBA63E0A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E22-4BEC-ACB0-D5E3631078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5299A5-92B5-4204-BD92-C05F1AB8A3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E22-4BEC-ACB0-D5E3631078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CA2A213-10F1-4B63-9FE3-263D874E51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E22-4BEC-ACB0-D5E3631078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6A11D3-77AF-4391-B352-69F35F181F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E22-4BEC-ACB0-D5E3631078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3B69F8-6FB7-4485-A503-A043C26B2C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E22-4BEC-ACB0-D5E3631078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3BDF49-4D47-4791-B405-338210C9DE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E22-4BEC-ACB0-D5E3631078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2AA9241-8AFF-49DB-B8EB-BC01DE5F23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E22-4BEC-ACB0-D5E3631078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C2EC09-385E-4E88-8DF5-8A0522C075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E22-4BEC-ACB0-D5E3631078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1550F8-FFAC-4ED1-9290-D364A21958E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E22-4BEC-ACB0-D5E3631078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6D24CF-93EB-434A-A65C-0EC46FD7E6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E22-4BEC-ACB0-D5E3631078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4DA0A6C-69C7-43EB-A766-6318D69AE5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E22-4BEC-ACB0-D5E3631078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7E05EF-5644-4377-8F4E-044E5A4E1B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E22-4BEC-ACB0-D5E3631078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D82258-7620-455D-B9A7-D96FDE85A2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E22-4BEC-ACB0-D5E3631078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3ADC37-C178-492E-AEEF-828B7FF235C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E22-4BEC-ACB0-D5E3631078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3A5D789-D4AC-491D-B0FD-DB1ABAA851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E22-4BEC-ACB0-D5E3631078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80EFE7-DAA3-44EE-A791-3594FE24470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E22-4BEC-ACB0-D5E3631078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D90572-F107-48CB-A3E0-601C62DFD2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E22-4BEC-ACB0-D5E3631078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881EF6A-E659-4C01-8581-CAA8208220E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E22-4BEC-ACB0-D5E3631078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C501104-3422-419B-ADAA-4AEB16301A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E22-4BEC-ACB0-D5E3631078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65ECB46-6530-423C-846A-A4B2614479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E22-4BEC-ACB0-D5E3631078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351405-5231-4A73-BBA7-711A3FBAED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E22-4BEC-ACB0-D5E3631078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71AC879-4E75-4E31-A6B5-F0174799795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E22-4BEC-ACB0-D5E3631078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14A2956-66A1-400C-87C1-4A3743C8A2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E22-4BEC-ACB0-D5E3631078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B89B43-9D02-47C8-BBA2-643C2C4A2B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E22-4BEC-ACB0-D5E3631078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A82A07-DAF1-4677-80FC-5D911C89EC9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E22-4BEC-ACB0-D5E3631078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2201DC-2169-4256-A5D0-AD3100BF4A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E22-4BEC-ACB0-D5E3631078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628AF7-8091-4C33-B110-C177567485C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E22-4BEC-ACB0-D5E3631078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644E483-7616-458C-8FA8-96B9495659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E22-4BEC-ACB0-D5E3631078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781F0A-9B9F-4938-A9F9-46A0E907C8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E22-4BEC-ACB0-D5E3631078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07A958-09D6-4F83-93C7-398FE321E1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E22-4BEC-ACB0-D5E3631078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9F8BCA-5419-4B89-B403-7D7DEFCD16E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E22-4BEC-ACB0-D5E3631078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354D5EB-E431-48D9-8A42-532CBCDC855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E22-4BEC-ACB0-D5E3631078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E8ECFA-49AA-4768-A5DB-87B2103118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E22-4BEC-ACB0-D5E3631078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462EB2-C21E-4F23-8AEA-931EC23F7B7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E22-4BEC-ACB0-D5E3631078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2C77BA-8471-4713-A8D2-207A48789DA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E22-4BEC-ACB0-D5E3631078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8952DE-694B-49D1-AA95-48202F8059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E22-4BEC-ACB0-D5E3631078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B4A392-BDB5-43A4-9F77-FF28B2B2B9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E22-4BEC-ACB0-D5E3631078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45D264-1C8C-424B-9E96-4CF093BA262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E22-4BEC-ACB0-D5E3631078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48EB4E2-A97D-42CC-B2FF-4263E890AE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E22-4BEC-ACB0-D5E3631078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702E1F-3340-4C4F-A4CF-45BE4E965B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E22-4BEC-ACB0-D5E3631078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9462785-9674-4564-8514-2B53839F054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E22-4BEC-ACB0-D5E3631078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A1D3E18-8706-40BC-9698-8656B4C6DB0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E22-4BEC-ACB0-D5E3631078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FC0AE3-895B-493C-90B1-6EB22C34F25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E22-4BEC-ACB0-D5E3631078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10C73BD-BBA1-4CE3-A097-2C25E7D6B0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E22-4BEC-ACB0-D5E3631078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753FE96-0EA8-4ED9-9FD1-93F824F866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E22-4BEC-ACB0-D5E3631078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9EB241-2AD2-4253-833D-3ED643DE82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E22-4BEC-ACB0-D5E3631078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401240-D5C5-4A80-8A7B-434849B35CF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E22-4BEC-ACB0-D5E3631078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617412E-AED4-4715-B0AC-E0C13BC3EB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E22-4BEC-ACB0-D5E3631078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86CFC61-9E07-499A-B8B4-20241BF841C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E22-4BEC-ACB0-D5E3631078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BBB20C-2194-4892-8F11-92FB7C5CEF2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E22-4BEC-ACB0-D5E3631078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159E67-EF0A-41A4-B8CF-93DF8B6783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E22-4BEC-ACB0-D5E3631078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5E05F9-DCC4-4A02-B806-FAA223135D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E22-4BEC-ACB0-D5E3631078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24672F-C3C1-4F9B-9160-3907B20B2E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E22-4BEC-ACB0-D5E3631078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129D54-12DD-4CBA-887A-9747EFDF9F3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E22-4BEC-ACB0-D5E3631078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53EF2D-D778-420F-BB40-902D49DC308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E22-4BEC-ACB0-D5E3631078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C581A2-BB89-4205-AE89-9BD1794CE25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E22-4BEC-ACB0-D5E3631078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F35A89-1793-4C84-9CE4-483C1C45461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E22-4BEC-ACB0-D5E3631078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3680016-E386-49E9-B845-1A2A3EF8266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E22-4BEC-ACB0-D5E3631078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fld id="{90D88F14-3E70-4E62-A2D4-3DE73AE597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E22-4BEC-ACB0-D5E3631078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fld id="{6924FCA3-DEC5-440E-A1FE-ECCDC785E8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E22-4BEC-ACB0-D5E3631078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fld id="{F41D9C37-1E98-42E3-AB86-E0A21FAD7AE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E22-4BEC-ACB0-D5E3631078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fld id="{A402C7AF-318F-4F3F-904B-474E16B0D8E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E22-4BEC-ACB0-D5E3631078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fld id="{7DB4E68D-075C-4532-A84B-A66A8AD354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E22-4BEC-ACB0-D5E3631078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fld id="{7C5AA28F-8B61-45DE-A2C5-3CB8C0C4B0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E22-4BEC-ACB0-D5E3631078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fld id="{68F19222-2E8A-492E-B2C0-F9D42F18908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E22-4BEC-ACB0-D5E3631078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fld id="{05F6FC11-8981-422F-B5EC-6C01C9A83B5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E22-4BEC-ACB0-D5E3631078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fld id="{B2C26959-DD3B-45ED-806A-CFE2EF73D5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E22-4BEC-ACB0-D5E3631078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fld id="{64023F13-1181-4944-9D1E-D67BECFB060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E22-4BEC-ACB0-D5E3631078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fld id="{752E8FBD-DC52-42D6-8509-7D0FB594210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E22-4BEC-ACB0-D5E3631078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fld id="{A3D8267A-A764-46CE-A548-BB90ED7E1A5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E22-4BEC-ACB0-D5E3631078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fld id="{AF988C45-5EC3-40F1-A1A8-AC285BFFD2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E22-4BEC-ACB0-D5E3631078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fld id="{F12E8ED2-233F-4949-92E7-54989DC545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E22-4BEC-ACB0-D5E3631078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fld id="{D5E7A11F-E63B-4D97-82D3-37E8E5DF86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E22-4BEC-ACB0-D5E3631078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fld id="{1511B6B3-9D3E-4F24-B269-A5FCE197BE1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E22-4BEC-ACB0-D5E3631078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fld id="{42360AA2-58AC-48DD-BAC0-E1C4EE460EE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E22-4BEC-ACB0-D5E3631078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fld id="{1A077E45-FC58-4C53-8C9D-EDCF1DEA2A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E22-4BEC-ACB0-D5E3631078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fld id="{1CF60BBA-0521-4026-926F-FC460ED5905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E22-4BEC-ACB0-D5E3631078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fld id="{318F2A96-6BB5-4B84-8CA4-BFB5563400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E22-4BEC-ACB0-D5E3631078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fld id="{4A28B7C2-54C7-475D-A374-1DA18D31EC8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E22-4BEC-ACB0-D5E3631078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fld id="{3EEF90FB-A23C-40FE-A448-64138B78E2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E22-4BEC-ACB0-D5E3631078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fld id="{AF0C7480-AC08-4B1E-9672-B851DD0F90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E22-4BEC-ACB0-D5E3631078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fld id="{13CF344D-435C-4F40-B4C3-8BF9249D3B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E22-4BEC-ACB0-D5E3631078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fld id="{B28479B6-3452-43B9-BD6C-F0DD0B71AB5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E22-4BEC-ACB0-D5E3631078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fld id="{FEBD8537-3C8B-4047-BF82-191466A038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E22-4BEC-ACB0-D5E3631078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fld id="{FFFBAF91-ACD1-46B7-B1FC-5FE2CA7CE70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E22-4BEC-ACB0-D5E3631078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fld id="{9109B6F1-D1AD-4572-9D57-FDA9FC73E81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E22-4BEC-ACB0-D5E3631078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fld id="{B18FC990-4B62-4492-986D-9197955D52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E22-4BEC-ACB0-D5E3631078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fld id="{7E15B555-A3EF-4BE3-8745-E5F22B8126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E22-4BEC-ACB0-D5E3631078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fld id="{EE550B22-1BEE-43B8-AD72-90811122825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E22-4BEC-ACB0-D5E3631078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fld id="{B6777A37-99BA-4848-878B-FAABB1CFA7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E22-4BEC-ACB0-D5E3631078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fld id="{FD3650E2-1FC9-43FB-840A-4B5329A7CC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E22-4BEC-ACB0-D5E3631078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fld id="{EEA43729-1AAC-44D8-B64D-66ABF397DC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E22-4BEC-ACB0-D5E3631078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fld id="{7119F120-6F91-4644-891F-654DFE05B79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E22-4BEC-ACB0-D5E3631078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fld id="{10C94C8E-66E8-44D4-B094-46E8884716D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E22-4BEC-ACB0-D5E3631078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fld id="{D599BAA0-C338-43A7-B182-3C9B4C65D3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E22-4BEC-ACB0-D5E3631078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fld id="{5A7B228C-F9FE-44D6-9D8B-AA988FE11FB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E22-4BEC-ACB0-D5E3631078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fld id="{905DEBE5-C33A-4715-8846-4EFDF773DF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E22-4BEC-ACB0-D5E3631078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fld id="{1EC17A4E-241A-48B1-BF4F-4C0E50882E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E22-4BEC-ACB0-D5E3631078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fld id="{5D8AC7B8-6B93-4454-BC16-7F2F078B2D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E22-4BEC-ACB0-D5E3631078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fld id="{8A7303F8-C7B7-443D-9EF1-A4B94E810F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E22-4BEC-ACB0-D5E3631078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fld id="{56F4D3B9-F72E-4E81-AED3-7311C943B2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E22-4BEC-ACB0-D5E3631078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fld id="{5716AE27-4DF2-4269-A25B-9F26AB02D07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E22-4BEC-ACB0-D5E3631078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fld id="{611BE351-65C3-4189-89E0-297487B66F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E22-4BEC-ACB0-D5E3631078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fld id="{0993C282-2DDA-4836-B6AA-CB68F23449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E22-4BEC-ACB0-D5E3631078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fld id="{D75EB050-B1BD-43E9-BF01-33500C44BC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E22-4BEC-ACB0-D5E3631078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fld id="{0A7CBA22-85CF-4A18-88C5-EBF656ADCBD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E22-4BEC-ACB0-D5E3631078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fld id="{600512C1-6974-4980-852F-B809FCA5380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E22-4BEC-ACB0-D5E3631078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fld id="{79AB24D4-FC4E-4A12-AB8D-92FF0A0A2F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E22-4BEC-ACB0-D5E3631078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fld id="{031B9DF4-F636-475D-AC8E-EFA28950921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E22-4BEC-ACB0-D5E3631078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fld id="{474B0A22-54EC-4635-AB91-F3446CEA00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E22-4BEC-ACB0-D5E3631078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fld id="{4BCFFFC9-50FA-4C1F-BED9-57CC264ACE5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E22-4BEC-ACB0-D5E3631078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fld id="{58FFA0DE-BB94-47EA-B8CB-493DFA35D7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E22-4BEC-ACB0-D5E3631078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fld id="{929A414A-3759-47C5-A144-1F09C7E802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E22-4BEC-ACB0-D5E3631078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fld id="{AEFE3691-CE8D-4E59-9E06-D83BF1A92C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E22-4BEC-ACB0-D5E3631078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fld id="{141CF329-4D7D-433A-8797-5317638897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E22-4BEC-ACB0-D5E3631078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fld id="{D790FA79-A403-4EA3-940A-2E64A496CF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E22-4BEC-ACB0-D5E3631078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fld id="{B37B07B2-BB09-4097-A56E-E75E6D9E382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E22-4BEC-ACB0-D5E3631078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fld id="{23084820-1DA4-46C1-ABD1-391620BD3A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E22-4BEC-ACB0-D5E3631078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fld id="{D28C971C-79B1-4AAC-9EDF-63184D824D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E22-4BEC-ACB0-D5E3631078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fld id="{08672E62-AAC3-43F5-ABBB-5AAFD5BBC35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E22-4BEC-ACB0-D5E3631078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fld id="{7A7BB98C-532D-4707-ADD8-B6A28EF75F6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E22-4BEC-ACB0-D5E3631078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fld id="{FA111802-9A4B-4D3E-9C2A-2CF3DB5C72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E22-4BEC-ACB0-D5E3631078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fld id="{9604153D-DAD2-40A8-9668-6DE05C7A93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E22-4BEC-ACB0-D5E3631078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fld id="{F17B2B50-698E-435D-9BBC-F42D0B5F1AA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E22-4BEC-ACB0-D5E3631078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fld id="{AB2D1696-F92F-48FA-AE94-3A492363CC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E22-4BEC-ACB0-D5E3631078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fld id="{9ED192E7-431E-41C0-AAE6-F16DE625377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E22-4BEC-ACB0-D5E3631078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fld id="{E3A4CA1F-9F82-45C4-965E-4BD1A07353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E22-4BEC-ACB0-D5E3631078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fld id="{929A2C81-5747-4AE7-B216-D64AC5923A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E22-4BEC-ACB0-D5E3631078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fld id="{A7B02B6A-E091-4DF3-A9F3-6964471AD5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E22-4BEC-ACB0-D5E3631078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fld id="{A7538000-4A7B-4F2D-9EB9-42A624F0C2A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E22-4BEC-ACB0-D5E3631078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fld id="{5FC98CE2-D7D9-422D-AAD7-A2DEA2E23F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E22-4BEC-ACB0-D5E36310785A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fld id="{5826C46A-8184-4630-B8E6-9215165B0D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E22-4BEC-ACB0-D5E36310785A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fld id="{4D295DED-C015-471F-85B6-78A48EAE53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CE22-4BEC-ACB0-D5E36310785A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fld id="{6BD0F29D-2DD3-4882-876B-E02CFAC613E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CE22-4BEC-ACB0-D5E36310785A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fld id="{8FBD99F4-3269-46A5-8215-3413557FD33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CE22-4BEC-ACB0-D5E36310785A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fld id="{F73E62C1-6D8F-4310-9078-1650F5721F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CE22-4BEC-ACB0-D5E36310785A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fld id="{1224E1F4-9E47-4057-B40A-BA60BA0DD3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CE22-4BEC-ACB0-D5E36310785A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fld id="{7FA575B3-4224-4FE7-B57F-8971C3B45C4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CE22-4BEC-ACB0-D5E36310785A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fld id="{1F4616CA-74DE-443C-9354-6A18A08515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CE22-4BEC-ACB0-D5E36310785A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fld id="{50866AEA-BFEF-40FD-AB14-F459E05B40D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CE22-4BEC-ACB0-D5E36310785A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fld id="{536F509D-B1C8-464F-80BF-CD1B4F057F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CE22-4BEC-ACB0-D5E36310785A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fld id="{588DA2C1-03C4-4A0A-AB83-DCA461A159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CE22-4BEC-ACB0-D5E36310785A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fld id="{890EB671-5426-4F5E-9A6C-4751E45869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CE22-4BEC-ACB0-D5E36310785A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fld id="{DCF903C2-B2F7-4F77-B8B5-3C0468CC60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CE22-4BEC-ACB0-D5E36310785A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fld id="{D67E998D-83AF-455F-AB95-EDD0FEB962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CE22-4BEC-ACB0-D5E36310785A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fld id="{86AE96DF-B5E6-4DEA-BDE6-6309AAD9C8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CE22-4BEC-ACB0-D5E36310785A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fld id="{4DA97BD9-AE11-44EE-920C-A4F51DDC3D5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CE22-4BEC-ACB0-D5E36310785A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fld id="{2EC78081-E270-4D8F-B737-C6921F236A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CE22-4BEC-ACB0-D5E36310785A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fld id="{DD4E78BA-BE40-479C-ABB0-5AD6D32EA86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CE22-4BEC-ACB0-D5E36310785A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fld id="{AA78AFBF-7894-46F6-93C9-3912A7DD1AB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CE22-4BEC-ACB0-D5E36310785A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fld id="{D3D0D6E6-3DBF-42F4-A185-E755012277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CE22-4BEC-ACB0-D5E36310785A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fld id="{43EEC420-0810-4F38-877D-E44DBC380B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CE22-4BEC-ACB0-D5E36310785A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fld id="{DF53F54E-8418-4B07-9433-F7C28B4238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CE22-4BEC-ACB0-D5E36310785A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fld id="{E817F439-B62F-48E8-97D4-B4DDBC268E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CE22-4BEC-ACB0-D5E36310785A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fld id="{6AB646A3-98AD-41F9-8248-7F1086B2587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CE22-4BEC-ACB0-D5E36310785A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fld id="{3DA8BB05-3E16-49A7-8A85-C72B66204E6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CE22-4BEC-ACB0-D5E36310785A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fld id="{C9A76ECC-90C3-4E47-A193-75C7460EDB7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CE22-4BEC-ACB0-D5E36310785A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fld id="{66C72498-D3D2-421E-AD10-4FBBB0EC049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CE22-4BEC-ACB0-D5E36310785A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fld id="{06529EFE-1476-496C-BE8F-BAB59DA69C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CE22-4BEC-ACB0-D5E36310785A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fld id="{1C929313-23F0-47FA-A93E-14017C0523A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CE22-4BEC-ACB0-D5E36310785A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fld id="{A18F9953-A38C-41C7-A8D2-D707D008858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CE22-4BEC-ACB0-D5E36310785A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fld id="{21A47017-E2DB-4696-95A4-3711A7947C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CE22-4BEC-ACB0-D5E36310785A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fld id="{AA142CD2-FD76-48D6-B2A8-CBA9A08D3A7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CE22-4BEC-ACB0-D5E36310785A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fld id="{660FC192-5403-4821-A54D-41BC41C19B7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CE22-4BEC-ACB0-D5E36310785A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fld id="{95B9E772-3D13-4099-8521-A12984BCF9B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CE22-4BEC-ACB0-D5E36310785A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fld id="{424ED583-4286-46F1-97E7-A1C88B3FFB3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CE22-4BEC-ACB0-D5E36310785A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fld id="{DF89446E-D670-4D65-B4AA-F6027CDA48F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CE22-4BEC-ACB0-D5E36310785A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fld id="{BF8D123C-6E63-43DF-9934-3B5B131F9A6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CE22-4BEC-ACB0-D5E36310785A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fld id="{A578C019-FE64-4FAF-B96B-A0197DE6F8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CE22-4BEC-ACB0-D5E36310785A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fld id="{9118B0EC-CCE7-4FFD-BFB7-35A5E11E12E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CE22-4BEC-ACB0-D5E36310785A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fld id="{5C3B9F87-EAAA-4EB1-A182-6F9BC2040D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CE22-4BEC-ACB0-D5E36310785A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fld id="{C6FFC4E3-BC05-422D-8AB3-92C41F2764C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CE22-4BEC-ACB0-D5E36310785A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fld id="{9403DFB0-E510-4B91-9F76-2C5CCE0438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CE22-4BEC-ACB0-D5E36310785A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fld id="{4716338E-E757-46FF-BB02-166A2094F5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CE22-4BEC-ACB0-D5E36310785A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fld id="{1A5B23F2-ABDF-48E3-A597-1F5355472F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CE22-4BEC-ACB0-D5E36310785A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fld id="{65EE97E9-7676-4824-A73D-812F0EFBB0D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CE22-4BEC-ACB0-D5E36310785A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fld id="{CCA7D535-A90D-4AAB-AEB6-780D2ABA5CA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CE22-4BEC-ACB0-D5E36310785A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fld id="{DC2BE472-45C5-417B-BCDE-01ED302D115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CE22-4BEC-ACB0-D5E36310785A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fld id="{420E7D43-4103-4147-A575-67FB318BF69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CE22-4BEC-ACB0-D5E36310785A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fld id="{63078578-D304-4B53-A408-E649FA0330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CE22-4BEC-ACB0-D5E36310785A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fld id="{6F0CD73C-8606-4828-8F61-FE916D1A36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CE22-4BEC-ACB0-D5E36310785A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fld id="{9BC4E349-F052-4194-AD5F-D55D585C29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CE22-4BEC-ACB0-D5E36310785A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fld id="{2237F47F-8CA6-4FAD-A837-9BE3973578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CE22-4BEC-ACB0-D5E36310785A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fld id="{F080BCB5-B4A7-4B94-A657-2C9C395F0CC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CE22-4BEC-ACB0-D5E36310785A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fld id="{76A95078-072B-44C3-8F08-668E9AA3149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CE22-4BEC-ACB0-D5E36310785A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fld id="{F788FE15-562D-47BA-B009-D9C1C5C6770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CE22-4BEC-ACB0-D5E36310785A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fld id="{C4AF789C-2FA2-4ED6-9D2E-FE1DD41F030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CE22-4BEC-ACB0-D5E36310785A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fld id="{55320F8B-0CBE-4430-9763-4F2F48C9545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CE22-4BEC-ACB0-D5E36310785A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fld id="{40F59E81-1C5A-4664-9E17-6598BC5DAD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CE22-4BEC-ACB0-D5E36310785A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fld id="{B4E5B5D2-5DCC-4CF2-A4EA-A04529ECF06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CE22-4BEC-ACB0-D5E36310785A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fld id="{A4060246-80D1-42F1-B468-441115EDB0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CE22-4BEC-ACB0-D5E36310785A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fld id="{73D2761E-5C59-4135-A39C-25233DA227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CE22-4BEC-ACB0-D5E36310785A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fld id="{B2CB3D95-1A06-4A7A-9E2D-A91E8F19FB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CE22-4BEC-ACB0-D5E36310785A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fld id="{63AA7BC7-B99C-4546-B22B-7FE0B7886F6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CE22-4BEC-ACB0-D5E36310785A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fld id="{F9802D59-3CEA-4383-ABD3-4780F5B03F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CE22-4BEC-ACB0-D5E36310785A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fld id="{9FC8E1E4-2ABA-4FD0-9F0D-0C9AC95E2D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CE22-4BEC-ACB0-D5E36310785A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fld id="{D92F53F8-D786-45C6-A1B8-72C33F339B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CE22-4BEC-ACB0-D5E36310785A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fld id="{7DDD9F31-97A4-4AEF-A3DA-E002F5D74A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CE22-4BEC-ACB0-D5E36310785A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fld id="{2A530894-CC7F-4F1B-9CB5-D42E14D0B91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CE22-4BEC-ACB0-D5E36310785A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fld id="{E1EC6F80-1B5B-4CD2-B4F0-770C4D5B93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CE22-4BEC-ACB0-D5E36310785A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fld id="{33E603D7-EBF3-45E6-928B-A90A0D8F9BD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CE22-4BEC-ACB0-D5E36310785A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fld id="{9529F7D6-9C4B-4C74-A23A-5ACF53C19B0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CE22-4BEC-ACB0-D5E36310785A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fld id="{13FE4A80-95DE-40FA-A926-D523CF8BE0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CE22-4BEC-ACB0-D5E36310785A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fld id="{FDA7198F-2707-4BCC-8D49-6CE9A9C21C4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CE22-4BEC-ACB0-D5E36310785A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fld id="{2423ED80-EAB8-4314-8B99-74B648F950A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CE22-4BEC-ACB0-D5E36310785A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fld id="{E39A97D5-EBB1-49AB-90AF-F6A9D97EE8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CE22-4BEC-ACB0-D5E36310785A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fld id="{6D5AD9C1-A975-4DFB-BF70-BAB59E574D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CE22-4BEC-ACB0-D5E36310785A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fld id="{75C76BD7-FADF-40DE-94A0-B3131E64E9D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CE22-4BEC-ACB0-D5E36310785A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fld id="{412330F1-54FA-4E4C-8709-F07559B3843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CE22-4BEC-ACB0-D5E36310785A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fld id="{073BC5AF-0A26-4C91-86E8-865EDEB229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CE22-4BEC-ACB0-D5E36310785A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fld id="{34DF1C0D-DD7A-4886-BA88-E0FD47FB5AB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CE22-4BEC-ACB0-D5E36310785A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fld id="{34F8C75F-B347-434A-BF9F-CF78A4FBFC5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CE22-4BEC-ACB0-D5E36310785A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fld id="{59BE090C-4037-4EEA-9B70-8BF3D15F9F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CE22-4BEC-ACB0-D5E36310785A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fld id="{FA2E8149-3B35-431B-B1D7-D52A1D8529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CE22-4BEC-ACB0-D5E36310785A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fld id="{7F0CAE60-F004-4D88-AF6F-BAC56CBAC8A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CE22-4BEC-ACB0-D5E36310785A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fld id="{C5293F75-1D89-47B4-8272-AB771FEDDD2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CE22-4BEC-ACB0-D5E36310785A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fld id="{59C2BC82-52C5-4228-B0BA-385FB490388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CE22-4BEC-ACB0-D5E36310785A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fld id="{25925A17-8E86-4835-9491-6C9C582185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CE22-4BEC-ACB0-D5E36310785A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fld id="{5ACCCBA3-CE06-41D7-A9AF-6C259084CB9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CE22-4BEC-ACB0-D5E36310785A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fld id="{2FF140E7-8FD0-4276-B776-5E387027B0B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CE22-4BEC-ACB0-D5E36310785A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fld id="{EA824777-53C5-4CBE-9088-485A60DB33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CE22-4BEC-ACB0-D5E36310785A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fld id="{3D6DD3B0-6A46-4918-82F8-C842A6C0634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CE22-4BEC-ACB0-D5E36310785A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fld id="{54FE4D29-7980-4DC0-A4CE-C0E5ADCA3E3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CE22-4BEC-ACB0-D5E36310785A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fld id="{6DD3C907-879D-489D-B01C-F90EEA20280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CE22-4BEC-ACB0-D5E36310785A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fld id="{FA96FC63-3D06-44C0-9EED-05EBCB60F3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CE22-4BEC-ACB0-D5E36310785A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fld id="{C2439EAB-3230-4AFC-9D6C-EF32C9D32B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CE22-4BEC-ACB0-D5E36310785A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fld id="{F435F2FE-D3E6-473B-95AB-CB20D6EFE6C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CE22-4BEC-ACB0-D5E36310785A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fld id="{B1E96649-3F1E-48A3-88DE-F4314FF850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CE22-4BEC-ACB0-D5E36310785A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fld id="{7224092B-CCEC-4F7A-AC95-8EBED226027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CE22-4BEC-ACB0-D5E36310785A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fld id="{83E95728-0190-4303-B5BB-6B06F26F688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CE22-4BEC-ACB0-D5E36310785A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fld id="{B9DE6CFA-021B-4747-86BD-5871CB381AC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CE22-4BEC-ACB0-D5E36310785A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fld id="{0D2E9CA2-7F32-44ED-A643-B3CF9CF8701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CE22-4BEC-ACB0-D5E36310785A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fld id="{E62D16DB-17D5-473B-8C44-29CF2AA163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CE22-4BEC-ACB0-D5E36310785A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fld id="{C2A63DB1-E23D-4015-A0E3-2F20F93415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CE22-4BEC-ACB0-D5E36310785A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fld id="{389F773F-AFA1-4B5E-853A-3A5DA0896B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CE22-4BEC-ACB0-D5E36310785A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fld id="{0D605C5C-4163-458A-B93F-6DCC90AA33A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CE22-4BEC-ACB0-D5E36310785A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fld id="{B0DCF56A-BC4B-4903-86A3-9DEB34F0ED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CE22-4BEC-ACB0-D5E36310785A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fld id="{C6D1B1EA-49EB-472D-A48F-516CED834C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CE22-4BEC-ACB0-D5E36310785A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fld id="{C27E5FB7-DB89-4500-B170-8C49AE41209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CE22-4BEC-ACB0-D5E36310785A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fld id="{B5A2A695-DD48-4C48-A0DD-038815A354F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CE22-4BEC-ACB0-D5E36310785A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fld id="{77155C25-C0BB-4104-91F3-512C89360D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CE22-4BEC-ACB0-D5E36310785A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fld id="{7F159F1B-32D5-4B00-A69C-95C716F308F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CE22-4BEC-ACB0-D5E36310785A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fld id="{60E1EDD7-4D2B-4F84-AAE6-8B3C0617369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CE22-4BEC-ACB0-D5E36310785A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fld id="{75BA28DA-7560-4251-80E6-949FDC817B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CE22-4BEC-ACB0-D5E36310785A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fld id="{A37A01EC-BCBF-4AC9-B77F-E8D5FD98E66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CE22-4BEC-ACB0-D5E36310785A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fld id="{4DFE8749-603B-41C0-84AA-ABACF6BA559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CE22-4BEC-ACB0-D5E36310785A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fld id="{3B0EEF19-1E36-4EC5-95E5-54398CFBC85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CE22-4BEC-ACB0-D5E36310785A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fld id="{32CAB9CC-DAB5-462B-BC8D-64C6E73394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CE22-4BEC-ACB0-D5E36310785A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fld id="{D00B8612-9349-43BA-ABB1-8EF883D3F85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CE22-4BEC-ACB0-D5E36310785A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fld id="{A2B96494-2C12-4A96-BB32-C0CD7B4BD8C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CE22-4BEC-ACB0-D5E36310785A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fld id="{1E25BDC4-E6A0-4A8D-B5AB-7F951BBAAE1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CE22-4BEC-ACB0-D5E36310785A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fld id="{E1E5F63A-6027-43DD-89E0-6DA5D3EC9E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CE22-4BEC-ACB0-D5E36310785A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fld id="{14B5368F-A18F-4548-B25A-D18B0F27980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CE22-4BEC-ACB0-D5E36310785A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fld id="{D0799303-61D2-4DCF-9A11-9D610BF2F2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CE22-4BEC-ACB0-D5E36310785A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fld id="{1B4CFFD5-7639-496B-94DF-E0A0B6A3EB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CE22-4BEC-ACB0-D5E36310785A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fld id="{259780E3-D358-473F-B965-073B19726BC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CE22-4BEC-ACB0-D5E36310785A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fld id="{C7380933-DC19-456D-ADCD-9F01691314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CE22-4BEC-ACB0-D5E36310785A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fld id="{E45C45BE-E0BF-4E33-8073-B8527CC1CE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CE22-4BEC-ACB0-D5E36310785A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fld id="{4E7D80D3-8BDD-413A-9B05-B4BE527CE91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CE22-4BEC-ACB0-D5E36310785A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fld id="{80D74B54-A2CE-4739-8AC9-E729183F82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CE22-4BEC-ACB0-D5E36310785A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fld id="{F9A44EDB-12EA-4B92-B027-96DD21E2CB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CE22-4BEC-ACB0-D5E36310785A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fld id="{90E00DC7-8E5A-43B6-ADC3-FE703525639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CE22-4BEC-ACB0-D5E36310785A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fld id="{D45BA15E-FC96-415A-89C7-2BA4788DB2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CE22-4BEC-ACB0-D5E36310785A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fld id="{21ECDAB0-2985-425D-8F51-F30CA07D81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CE22-4BEC-ACB0-D5E36310785A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fld id="{592D1754-7E3A-4223-8292-DAB3583834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CE22-4BEC-ACB0-D5E36310785A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fld id="{13E7AA87-7352-4D17-91BE-9FA42EB80D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CE22-4BEC-ACB0-D5E36310785A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fld id="{3411E01C-F1CA-473C-918A-71F0B73C4F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CE22-4BEC-ACB0-D5E36310785A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fld id="{10E2512A-30D2-4B84-ADEB-31ECEB0E993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CE22-4BEC-ACB0-D5E36310785A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fld id="{5C0C5FAA-7DFB-4A7B-9A63-B1B2BCC9BCA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CE22-4BEC-ACB0-D5E36310785A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fld id="{3E878838-AC82-4DA2-904E-6A952500710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CE22-4BEC-ACB0-D5E36310785A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fld id="{D1BE8829-23D5-43E9-8A93-01D170527C0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CE22-4BEC-ACB0-D5E36310785A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fld id="{281609B5-1A00-49BF-A0E4-F53D379732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CE22-4BEC-ACB0-D5E36310785A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fld id="{C043E0FD-0905-46DA-B292-410D5C65B4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CE22-4BEC-ACB0-D5E3631078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Paths!$AB$1:$AB$441</c:f>
              <c:numCache>
                <c:formatCode>General</c:formatCode>
                <c:ptCount val="44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  <c:pt idx="21">
                  <c:v>-10</c:v>
                </c:pt>
                <c:pt idx="22">
                  <c:v>-9</c:v>
                </c:pt>
                <c:pt idx="23">
                  <c:v>-8</c:v>
                </c:pt>
                <c:pt idx="24">
                  <c:v>-7</c:v>
                </c:pt>
                <c:pt idx="25">
                  <c:v>-6</c:v>
                </c:pt>
                <c:pt idx="26">
                  <c:v>-5</c:v>
                </c:pt>
                <c:pt idx="27">
                  <c:v>-4</c:v>
                </c:pt>
                <c:pt idx="28">
                  <c:v>-3</c:v>
                </c:pt>
                <c:pt idx="29">
                  <c:v>-2</c:v>
                </c:pt>
                <c:pt idx="30">
                  <c:v>-1</c:v>
                </c:pt>
                <c:pt idx="31">
                  <c:v>0</c:v>
                </c:pt>
                <c:pt idx="32">
                  <c:v>1</c:v>
                </c:pt>
                <c:pt idx="33">
                  <c:v>2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9</c:v>
                </c:pt>
                <c:pt idx="41">
                  <c:v>10</c:v>
                </c:pt>
                <c:pt idx="42">
                  <c:v>-10</c:v>
                </c:pt>
                <c:pt idx="43">
                  <c:v>-9</c:v>
                </c:pt>
                <c:pt idx="44">
                  <c:v>-8</c:v>
                </c:pt>
                <c:pt idx="45">
                  <c:v>-7</c:v>
                </c:pt>
                <c:pt idx="46">
                  <c:v>-6</c:v>
                </c:pt>
                <c:pt idx="47">
                  <c:v>-5</c:v>
                </c:pt>
                <c:pt idx="48">
                  <c:v>-4</c:v>
                </c:pt>
                <c:pt idx="49">
                  <c:v>-3</c:v>
                </c:pt>
                <c:pt idx="50">
                  <c:v>-2</c:v>
                </c:pt>
                <c:pt idx="51">
                  <c:v>-1</c:v>
                </c:pt>
                <c:pt idx="52">
                  <c:v>0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-10</c:v>
                </c:pt>
                <c:pt idx="64">
                  <c:v>-9</c:v>
                </c:pt>
                <c:pt idx="65">
                  <c:v>-8</c:v>
                </c:pt>
                <c:pt idx="66">
                  <c:v>-7</c:v>
                </c:pt>
                <c:pt idx="67">
                  <c:v>-6</c:v>
                </c:pt>
                <c:pt idx="68">
                  <c:v>-5</c:v>
                </c:pt>
                <c:pt idx="69">
                  <c:v>-4</c:v>
                </c:pt>
                <c:pt idx="70">
                  <c:v>-3</c:v>
                </c:pt>
                <c:pt idx="71">
                  <c:v>-2</c:v>
                </c:pt>
                <c:pt idx="72">
                  <c:v>-1</c:v>
                </c:pt>
                <c:pt idx="73">
                  <c:v>0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4</c:v>
                </c:pt>
                <c:pt idx="78">
                  <c:v>5</c:v>
                </c:pt>
                <c:pt idx="79">
                  <c:v>6</c:v>
                </c:pt>
                <c:pt idx="80">
                  <c:v>7</c:v>
                </c:pt>
                <c:pt idx="81">
                  <c:v>8</c:v>
                </c:pt>
                <c:pt idx="82">
                  <c:v>9</c:v>
                </c:pt>
                <c:pt idx="83">
                  <c:v>10</c:v>
                </c:pt>
                <c:pt idx="84">
                  <c:v>-10</c:v>
                </c:pt>
                <c:pt idx="85">
                  <c:v>-9</c:v>
                </c:pt>
                <c:pt idx="86">
                  <c:v>-8</c:v>
                </c:pt>
                <c:pt idx="87">
                  <c:v>-7</c:v>
                </c:pt>
                <c:pt idx="88">
                  <c:v>-6</c:v>
                </c:pt>
                <c:pt idx="89">
                  <c:v>-5</c:v>
                </c:pt>
                <c:pt idx="90">
                  <c:v>-4</c:v>
                </c:pt>
                <c:pt idx="91">
                  <c:v>-3</c:v>
                </c:pt>
                <c:pt idx="92">
                  <c:v>-2</c:v>
                </c:pt>
                <c:pt idx="93">
                  <c:v>-1</c:v>
                </c:pt>
                <c:pt idx="94">
                  <c:v>0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4</c:v>
                </c:pt>
                <c:pt idx="99">
                  <c:v>5</c:v>
                </c:pt>
                <c:pt idx="100">
                  <c:v>6</c:v>
                </c:pt>
                <c:pt idx="101">
                  <c:v>7</c:v>
                </c:pt>
                <c:pt idx="102">
                  <c:v>8</c:v>
                </c:pt>
                <c:pt idx="103">
                  <c:v>9</c:v>
                </c:pt>
                <c:pt idx="104">
                  <c:v>10</c:v>
                </c:pt>
                <c:pt idx="105">
                  <c:v>-10</c:v>
                </c:pt>
                <c:pt idx="106">
                  <c:v>-9</c:v>
                </c:pt>
                <c:pt idx="107">
                  <c:v>-8</c:v>
                </c:pt>
                <c:pt idx="108">
                  <c:v>-7</c:v>
                </c:pt>
                <c:pt idx="109">
                  <c:v>-6</c:v>
                </c:pt>
                <c:pt idx="110">
                  <c:v>-5</c:v>
                </c:pt>
                <c:pt idx="111">
                  <c:v>-4</c:v>
                </c:pt>
                <c:pt idx="112">
                  <c:v>-3</c:v>
                </c:pt>
                <c:pt idx="113">
                  <c:v>-2</c:v>
                </c:pt>
                <c:pt idx="114">
                  <c:v>-1</c:v>
                </c:pt>
                <c:pt idx="115">
                  <c:v>0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4</c:v>
                </c:pt>
                <c:pt idx="120">
                  <c:v>5</c:v>
                </c:pt>
                <c:pt idx="121">
                  <c:v>6</c:v>
                </c:pt>
                <c:pt idx="122">
                  <c:v>7</c:v>
                </c:pt>
                <c:pt idx="123">
                  <c:v>8</c:v>
                </c:pt>
                <c:pt idx="124">
                  <c:v>9</c:v>
                </c:pt>
                <c:pt idx="125">
                  <c:v>10</c:v>
                </c:pt>
                <c:pt idx="126">
                  <c:v>-10</c:v>
                </c:pt>
                <c:pt idx="127">
                  <c:v>-9</c:v>
                </c:pt>
                <c:pt idx="128">
                  <c:v>-8</c:v>
                </c:pt>
                <c:pt idx="129">
                  <c:v>-7</c:v>
                </c:pt>
                <c:pt idx="130">
                  <c:v>-6</c:v>
                </c:pt>
                <c:pt idx="131">
                  <c:v>-5</c:v>
                </c:pt>
                <c:pt idx="132">
                  <c:v>-4</c:v>
                </c:pt>
                <c:pt idx="133">
                  <c:v>-3</c:v>
                </c:pt>
                <c:pt idx="134">
                  <c:v>-2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2</c:v>
                </c:pt>
                <c:pt idx="139">
                  <c:v>3</c:v>
                </c:pt>
                <c:pt idx="140">
                  <c:v>4</c:v>
                </c:pt>
                <c:pt idx="141">
                  <c:v>5</c:v>
                </c:pt>
                <c:pt idx="142">
                  <c:v>6</c:v>
                </c:pt>
                <c:pt idx="143">
                  <c:v>7</c:v>
                </c:pt>
                <c:pt idx="144">
                  <c:v>8</c:v>
                </c:pt>
                <c:pt idx="145">
                  <c:v>9</c:v>
                </c:pt>
                <c:pt idx="146">
                  <c:v>10</c:v>
                </c:pt>
                <c:pt idx="147">
                  <c:v>-10</c:v>
                </c:pt>
                <c:pt idx="148">
                  <c:v>-9</c:v>
                </c:pt>
                <c:pt idx="149">
                  <c:v>-8</c:v>
                </c:pt>
                <c:pt idx="150">
                  <c:v>-7</c:v>
                </c:pt>
                <c:pt idx="151">
                  <c:v>-6</c:v>
                </c:pt>
                <c:pt idx="152">
                  <c:v>-5</c:v>
                </c:pt>
                <c:pt idx="153">
                  <c:v>-4</c:v>
                </c:pt>
                <c:pt idx="154">
                  <c:v>-3</c:v>
                </c:pt>
                <c:pt idx="155">
                  <c:v>-2</c:v>
                </c:pt>
                <c:pt idx="156">
                  <c:v>-1</c:v>
                </c:pt>
                <c:pt idx="157">
                  <c:v>0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7</c:v>
                </c:pt>
                <c:pt idx="165">
                  <c:v>8</c:v>
                </c:pt>
                <c:pt idx="166">
                  <c:v>9</c:v>
                </c:pt>
                <c:pt idx="167">
                  <c:v>10</c:v>
                </c:pt>
                <c:pt idx="168">
                  <c:v>-10</c:v>
                </c:pt>
                <c:pt idx="169">
                  <c:v>-9</c:v>
                </c:pt>
                <c:pt idx="170">
                  <c:v>-8</c:v>
                </c:pt>
                <c:pt idx="171">
                  <c:v>-7</c:v>
                </c:pt>
                <c:pt idx="172">
                  <c:v>-6</c:v>
                </c:pt>
                <c:pt idx="173">
                  <c:v>-5</c:v>
                </c:pt>
                <c:pt idx="174">
                  <c:v>-4</c:v>
                </c:pt>
                <c:pt idx="175">
                  <c:v>-3</c:v>
                </c:pt>
                <c:pt idx="176">
                  <c:v>-2</c:v>
                </c:pt>
                <c:pt idx="177">
                  <c:v>-1</c:v>
                </c:pt>
                <c:pt idx="178">
                  <c:v>0</c:v>
                </c:pt>
                <c:pt idx="179">
                  <c:v>1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7</c:v>
                </c:pt>
                <c:pt idx="186">
                  <c:v>8</c:v>
                </c:pt>
                <c:pt idx="187">
                  <c:v>9</c:v>
                </c:pt>
                <c:pt idx="188">
                  <c:v>10</c:v>
                </c:pt>
                <c:pt idx="189">
                  <c:v>-10</c:v>
                </c:pt>
                <c:pt idx="190">
                  <c:v>-9</c:v>
                </c:pt>
                <c:pt idx="191">
                  <c:v>-8</c:v>
                </c:pt>
                <c:pt idx="192">
                  <c:v>-7</c:v>
                </c:pt>
                <c:pt idx="193">
                  <c:v>-6</c:v>
                </c:pt>
                <c:pt idx="194">
                  <c:v>-5</c:v>
                </c:pt>
                <c:pt idx="195">
                  <c:v>-4</c:v>
                </c:pt>
                <c:pt idx="196">
                  <c:v>-3</c:v>
                </c:pt>
                <c:pt idx="197">
                  <c:v>-2</c:v>
                </c:pt>
                <c:pt idx="198">
                  <c:v>-1</c:v>
                </c:pt>
                <c:pt idx="199">
                  <c:v>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6</c:v>
                </c:pt>
                <c:pt idx="206">
                  <c:v>7</c:v>
                </c:pt>
                <c:pt idx="207">
                  <c:v>8</c:v>
                </c:pt>
                <c:pt idx="208">
                  <c:v>9</c:v>
                </c:pt>
                <c:pt idx="209">
                  <c:v>10</c:v>
                </c:pt>
                <c:pt idx="210">
                  <c:v>-10</c:v>
                </c:pt>
                <c:pt idx="211">
                  <c:v>-9</c:v>
                </c:pt>
                <c:pt idx="212">
                  <c:v>-8</c:v>
                </c:pt>
                <c:pt idx="213">
                  <c:v>-7</c:v>
                </c:pt>
                <c:pt idx="214">
                  <c:v>-6</c:v>
                </c:pt>
                <c:pt idx="215">
                  <c:v>-5</c:v>
                </c:pt>
                <c:pt idx="216">
                  <c:v>-4</c:v>
                </c:pt>
                <c:pt idx="217">
                  <c:v>-3</c:v>
                </c:pt>
                <c:pt idx="218">
                  <c:v>-2</c:v>
                </c:pt>
                <c:pt idx="219">
                  <c:v>-1</c:v>
                </c:pt>
                <c:pt idx="220">
                  <c:v>0</c:v>
                </c:pt>
                <c:pt idx="221">
                  <c:v>1</c:v>
                </c:pt>
                <c:pt idx="222">
                  <c:v>2</c:v>
                </c:pt>
                <c:pt idx="223">
                  <c:v>3</c:v>
                </c:pt>
                <c:pt idx="224">
                  <c:v>4</c:v>
                </c:pt>
                <c:pt idx="225">
                  <c:v>5</c:v>
                </c:pt>
                <c:pt idx="226">
                  <c:v>6</c:v>
                </c:pt>
                <c:pt idx="227">
                  <c:v>7</c:v>
                </c:pt>
                <c:pt idx="228">
                  <c:v>8</c:v>
                </c:pt>
                <c:pt idx="229">
                  <c:v>9</c:v>
                </c:pt>
                <c:pt idx="230">
                  <c:v>10</c:v>
                </c:pt>
                <c:pt idx="231">
                  <c:v>-10</c:v>
                </c:pt>
                <c:pt idx="232">
                  <c:v>-9</c:v>
                </c:pt>
                <c:pt idx="233">
                  <c:v>-8</c:v>
                </c:pt>
                <c:pt idx="234">
                  <c:v>-7</c:v>
                </c:pt>
                <c:pt idx="235">
                  <c:v>-6</c:v>
                </c:pt>
                <c:pt idx="236">
                  <c:v>-5</c:v>
                </c:pt>
                <c:pt idx="237">
                  <c:v>-4</c:v>
                </c:pt>
                <c:pt idx="238">
                  <c:v>-3</c:v>
                </c:pt>
                <c:pt idx="239">
                  <c:v>-2</c:v>
                </c:pt>
                <c:pt idx="240">
                  <c:v>-1</c:v>
                </c:pt>
                <c:pt idx="241">
                  <c:v>0</c:v>
                </c:pt>
                <c:pt idx="242">
                  <c:v>1</c:v>
                </c:pt>
                <c:pt idx="243">
                  <c:v>2</c:v>
                </c:pt>
                <c:pt idx="244">
                  <c:v>3</c:v>
                </c:pt>
                <c:pt idx="245">
                  <c:v>4</c:v>
                </c:pt>
                <c:pt idx="246">
                  <c:v>5</c:v>
                </c:pt>
                <c:pt idx="247">
                  <c:v>6</c:v>
                </c:pt>
                <c:pt idx="248">
                  <c:v>7</c:v>
                </c:pt>
                <c:pt idx="249">
                  <c:v>8</c:v>
                </c:pt>
                <c:pt idx="250">
                  <c:v>9</c:v>
                </c:pt>
                <c:pt idx="251">
                  <c:v>10</c:v>
                </c:pt>
                <c:pt idx="252">
                  <c:v>-10</c:v>
                </c:pt>
                <c:pt idx="253">
                  <c:v>-9</c:v>
                </c:pt>
                <c:pt idx="254">
                  <c:v>-8</c:v>
                </c:pt>
                <c:pt idx="255">
                  <c:v>-7</c:v>
                </c:pt>
                <c:pt idx="256">
                  <c:v>-6</c:v>
                </c:pt>
                <c:pt idx="257">
                  <c:v>-5</c:v>
                </c:pt>
                <c:pt idx="258">
                  <c:v>-4</c:v>
                </c:pt>
                <c:pt idx="259">
                  <c:v>-3</c:v>
                </c:pt>
                <c:pt idx="260">
                  <c:v>-2</c:v>
                </c:pt>
                <c:pt idx="261">
                  <c:v>-1</c:v>
                </c:pt>
                <c:pt idx="262">
                  <c:v>0</c:v>
                </c:pt>
                <c:pt idx="263">
                  <c:v>1</c:v>
                </c:pt>
                <c:pt idx="264">
                  <c:v>2</c:v>
                </c:pt>
                <c:pt idx="265">
                  <c:v>3</c:v>
                </c:pt>
                <c:pt idx="266">
                  <c:v>4</c:v>
                </c:pt>
                <c:pt idx="267">
                  <c:v>5</c:v>
                </c:pt>
                <c:pt idx="268">
                  <c:v>6</c:v>
                </c:pt>
                <c:pt idx="269">
                  <c:v>7</c:v>
                </c:pt>
                <c:pt idx="270">
                  <c:v>8</c:v>
                </c:pt>
                <c:pt idx="271">
                  <c:v>9</c:v>
                </c:pt>
                <c:pt idx="272">
                  <c:v>10</c:v>
                </c:pt>
                <c:pt idx="273">
                  <c:v>-10</c:v>
                </c:pt>
                <c:pt idx="274">
                  <c:v>-9</c:v>
                </c:pt>
                <c:pt idx="275">
                  <c:v>-8</c:v>
                </c:pt>
                <c:pt idx="276">
                  <c:v>-7</c:v>
                </c:pt>
                <c:pt idx="277">
                  <c:v>-6</c:v>
                </c:pt>
                <c:pt idx="278">
                  <c:v>-5</c:v>
                </c:pt>
                <c:pt idx="279">
                  <c:v>-4</c:v>
                </c:pt>
                <c:pt idx="280">
                  <c:v>-3</c:v>
                </c:pt>
                <c:pt idx="281">
                  <c:v>-2</c:v>
                </c:pt>
                <c:pt idx="282">
                  <c:v>-1</c:v>
                </c:pt>
                <c:pt idx="283">
                  <c:v>0</c:v>
                </c:pt>
                <c:pt idx="284">
                  <c:v>1</c:v>
                </c:pt>
                <c:pt idx="285">
                  <c:v>2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6</c:v>
                </c:pt>
                <c:pt idx="290">
                  <c:v>7</c:v>
                </c:pt>
                <c:pt idx="291">
                  <c:v>8</c:v>
                </c:pt>
                <c:pt idx="292">
                  <c:v>9</c:v>
                </c:pt>
                <c:pt idx="293">
                  <c:v>10</c:v>
                </c:pt>
                <c:pt idx="294">
                  <c:v>-10</c:v>
                </c:pt>
                <c:pt idx="295">
                  <c:v>-9</c:v>
                </c:pt>
                <c:pt idx="296">
                  <c:v>-8</c:v>
                </c:pt>
                <c:pt idx="297">
                  <c:v>-7</c:v>
                </c:pt>
                <c:pt idx="298">
                  <c:v>-6</c:v>
                </c:pt>
                <c:pt idx="299">
                  <c:v>-5</c:v>
                </c:pt>
                <c:pt idx="300">
                  <c:v>-4</c:v>
                </c:pt>
                <c:pt idx="301">
                  <c:v>-3</c:v>
                </c:pt>
                <c:pt idx="302">
                  <c:v>-2</c:v>
                </c:pt>
                <c:pt idx="303">
                  <c:v>-1</c:v>
                </c:pt>
                <c:pt idx="304">
                  <c:v>0</c:v>
                </c:pt>
                <c:pt idx="305">
                  <c:v>1</c:v>
                </c:pt>
                <c:pt idx="306">
                  <c:v>2</c:v>
                </c:pt>
                <c:pt idx="307">
                  <c:v>3</c:v>
                </c:pt>
                <c:pt idx="308">
                  <c:v>4</c:v>
                </c:pt>
                <c:pt idx="309">
                  <c:v>5</c:v>
                </c:pt>
                <c:pt idx="310">
                  <c:v>6</c:v>
                </c:pt>
                <c:pt idx="311">
                  <c:v>7</c:v>
                </c:pt>
                <c:pt idx="312">
                  <c:v>8</c:v>
                </c:pt>
                <c:pt idx="313">
                  <c:v>9</c:v>
                </c:pt>
                <c:pt idx="314">
                  <c:v>10</c:v>
                </c:pt>
                <c:pt idx="315">
                  <c:v>-10</c:v>
                </c:pt>
                <c:pt idx="316">
                  <c:v>-9</c:v>
                </c:pt>
                <c:pt idx="317">
                  <c:v>-8</c:v>
                </c:pt>
                <c:pt idx="318">
                  <c:v>-7</c:v>
                </c:pt>
                <c:pt idx="319">
                  <c:v>-6</c:v>
                </c:pt>
                <c:pt idx="320">
                  <c:v>-5</c:v>
                </c:pt>
                <c:pt idx="321">
                  <c:v>-4</c:v>
                </c:pt>
                <c:pt idx="322">
                  <c:v>-3</c:v>
                </c:pt>
                <c:pt idx="323">
                  <c:v>-2</c:v>
                </c:pt>
                <c:pt idx="324">
                  <c:v>-1</c:v>
                </c:pt>
                <c:pt idx="325">
                  <c:v>0</c:v>
                </c:pt>
                <c:pt idx="326">
                  <c:v>1</c:v>
                </c:pt>
                <c:pt idx="327">
                  <c:v>2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6</c:v>
                </c:pt>
                <c:pt idx="332">
                  <c:v>7</c:v>
                </c:pt>
                <c:pt idx="333">
                  <c:v>8</c:v>
                </c:pt>
                <c:pt idx="334">
                  <c:v>9</c:v>
                </c:pt>
                <c:pt idx="335">
                  <c:v>10</c:v>
                </c:pt>
                <c:pt idx="336">
                  <c:v>-10</c:v>
                </c:pt>
                <c:pt idx="337">
                  <c:v>-9</c:v>
                </c:pt>
                <c:pt idx="338">
                  <c:v>-8</c:v>
                </c:pt>
                <c:pt idx="339">
                  <c:v>-7</c:v>
                </c:pt>
                <c:pt idx="340">
                  <c:v>-6</c:v>
                </c:pt>
                <c:pt idx="341">
                  <c:v>-5</c:v>
                </c:pt>
                <c:pt idx="342">
                  <c:v>-4</c:v>
                </c:pt>
                <c:pt idx="343">
                  <c:v>-3</c:v>
                </c:pt>
                <c:pt idx="344">
                  <c:v>-2</c:v>
                </c:pt>
                <c:pt idx="345">
                  <c:v>-1</c:v>
                </c:pt>
                <c:pt idx="346">
                  <c:v>0</c:v>
                </c:pt>
                <c:pt idx="347">
                  <c:v>1</c:v>
                </c:pt>
                <c:pt idx="348">
                  <c:v>2</c:v>
                </c:pt>
                <c:pt idx="349">
                  <c:v>3</c:v>
                </c:pt>
                <c:pt idx="350">
                  <c:v>4</c:v>
                </c:pt>
                <c:pt idx="351">
                  <c:v>5</c:v>
                </c:pt>
                <c:pt idx="352">
                  <c:v>6</c:v>
                </c:pt>
                <c:pt idx="353">
                  <c:v>7</c:v>
                </c:pt>
                <c:pt idx="354">
                  <c:v>8</c:v>
                </c:pt>
                <c:pt idx="355">
                  <c:v>9</c:v>
                </c:pt>
                <c:pt idx="356">
                  <c:v>10</c:v>
                </c:pt>
                <c:pt idx="357">
                  <c:v>-10</c:v>
                </c:pt>
                <c:pt idx="358">
                  <c:v>-9</c:v>
                </c:pt>
                <c:pt idx="359">
                  <c:v>-8</c:v>
                </c:pt>
                <c:pt idx="360">
                  <c:v>-7</c:v>
                </c:pt>
                <c:pt idx="361">
                  <c:v>-6</c:v>
                </c:pt>
                <c:pt idx="362">
                  <c:v>-5</c:v>
                </c:pt>
                <c:pt idx="363">
                  <c:v>-4</c:v>
                </c:pt>
                <c:pt idx="364">
                  <c:v>-3</c:v>
                </c:pt>
                <c:pt idx="365">
                  <c:v>-2</c:v>
                </c:pt>
                <c:pt idx="366">
                  <c:v>-1</c:v>
                </c:pt>
                <c:pt idx="367">
                  <c:v>0</c:v>
                </c:pt>
                <c:pt idx="368">
                  <c:v>1</c:v>
                </c:pt>
                <c:pt idx="369">
                  <c:v>2</c:v>
                </c:pt>
                <c:pt idx="370">
                  <c:v>3</c:v>
                </c:pt>
                <c:pt idx="371">
                  <c:v>4</c:v>
                </c:pt>
                <c:pt idx="372">
                  <c:v>5</c:v>
                </c:pt>
                <c:pt idx="373">
                  <c:v>6</c:v>
                </c:pt>
                <c:pt idx="374">
                  <c:v>7</c:v>
                </c:pt>
                <c:pt idx="375">
                  <c:v>8</c:v>
                </c:pt>
                <c:pt idx="376">
                  <c:v>9</c:v>
                </c:pt>
                <c:pt idx="377">
                  <c:v>10</c:v>
                </c:pt>
                <c:pt idx="378">
                  <c:v>-10</c:v>
                </c:pt>
                <c:pt idx="379">
                  <c:v>-9</c:v>
                </c:pt>
                <c:pt idx="380">
                  <c:v>-8</c:v>
                </c:pt>
                <c:pt idx="381">
                  <c:v>-7</c:v>
                </c:pt>
                <c:pt idx="382">
                  <c:v>-6</c:v>
                </c:pt>
                <c:pt idx="383">
                  <c:v>-5</c:v>
                </c:pt>
                <c:pt idx="384">
                  <c:v>-4</c:v>
                </c:pt>
                <c:pt idx="385">
                  <c:v>-3</c:v>
                </c:pt>
                <c:pt idx="386">
                  <c:v>-2</c:v>
                </c:pt>
                <c:pt idx="387">
                  <c:v>-1</c:v>
                </c:pt>
                <c:pt idx="388">
                  <c:v>0</c:v>
                </c:pt>
                <c:pt idx="389">
                  <c:v>1</c:v>
                </c:pt>
                <c:pt idx="390">
                  <c:v>2</c:v>
                </c:pt>
                <c:pt idx="391">
                  <c:v>3</c:v>
                </c:pt>
                <c:pt idx="392">
                  <c:v>4</c:v>
                </c:pt>
                <c:pt idx="393">
                  <c:v>5</c:v>
                </c:pt>
                <c:pt idx="394">
                  <c:v>6</c:v>
                </c:pt>
                <c:pt idx="395">
                  <c:v>7</c:v>
                </c:pt>
                <c:pt idx="396">
                  <c:v>8</c:v>
                </c:pt>
                <c:pt idx="397">
                  <c:v>9</c:v>
                </c:pt>
                <c:pt idx="398">
                  <c:v>10</c:v>
                </c:pt>
                <c:pt idx="399">
                  <c:v>-10</c:v>
                </c:pt>
                <c:pt idx="400">
                  <c:v>-9</c:v>
                </c:pt>
                <c:pt idx="401">
                  <c:v>-8</c:v>
                </c:pt>
                <c:pt idx="402">
                  <c:v>-7</c:v>
                </c:pt>
                <c:pt idx="403">
                  <c:v>-6</c:v>
                </c:pt>
                <c:pt idx="404">
                  <c:v>-5</c:v>
                </c:pt>
                <c:pt idx="405">
                  <c:v>-4</c:v>
                </c:pt>
                <c:pt idx="406">
                  <c:v>-3</c:v>
                </c:pt>
                <c:pt idx="407">
                  <c:v>-2</c:v>
                </c:pt>
                <c:pt idx="408">
                  <c:v>-1</c:v>
                </c:pt>
                <c:pt idx="409">
                  <c:v>0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4</c:v>
                </c:pt>
                <c:pt idx="414">
                  <c:v>5</c:v>
                </c:pt>
                <c:pt idx="415">
                  <c:v>6</c:v>
                </c:pt>
                <c:pt idx="416">
                  <c:v>7</c:v>
                </c:pt>
                <c:pt idx="417">
                  <c:v>8</c:v>
                </c:pt>
                <c:pt idx="418">
                  <c:v>9</c:v>
                </c:pt>
                <c:pt idx="419">
                  <c:v>10</c:v>
                </c:pt>
                <c:pt idx="420">
                  <c:v>-10</c:v>
                </c:pt>
                <c:pt idx="421">
                  <c:v>-9</c:v>
                </c:pt>
                <c:pt idx="422">
                  <c:v>-8</c:v>
                </c:pt>
                <c:pt idx="423">
                  <c:v>-7</c:v>
                </c:pt>
                <c:pt idx="424">
                  <c:v>-6</c:v>
                </c:pt>
                <c:pt idx="425">
                  <c:v>-5</c:v>
                </c:pt>
                <c:pt idx="426">
                  <c:v>-4</c:v>
                </c:pt>
                <c:pt idx="427">
                  <c:v>-3</c:v>
                </c:pt>
                <c:pt idx="428">
                  <c:v>-2</c:v>
                </c:pt>
                <c:pt idx="429">
                  <c:v>-1</c:v>
                </c:pt>
                <c:pt idx="430">
                  <c:v>0</c:v>
                </c:pt>
                <c:pt idx="431">
                  <c:v>1</c:v>
                </c:pt>
                <c:pt idx="432">
                  <c:v>2</c:v>
                </c:pt>
                <c:pt idx="433">
                  <c:v>3</c:v>
                </c:pt>
                <c:pt idx="434">
                  <c:v>4</c:v>
                </c:pt>
                <c:pt idx="435">
                  <c:v>5</c:v>
                </c:pt>
                <c:pt idx="436">
                  <c:v>6</c:v>
                </c:pt>
                <c:pt idx="437">
                  <c:v>7</c:v>
                </c:pt>
                <c:pt idx="438">
                  <c:v>8</c:v>
                </c:pt>
                <c:pt idx="439">
                  <c:v>9</c:v>
                </c:pt>
                <c:pt idx="440">
                  <c:v>10</c:v>
                </c:pt>
              </c:numCache>
            </c:numRef>
          </c:xVal>
          <c:yVal>
            <c:numRef>
              <c:f>Paths!$AA$1:$AA$441</c:f>
              <c:numCache>
                <c:formatCode>General</c:formatCode>
                <c:ptCount val="44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-9</c:v>
                </c:pt>
                <c:pt idx="22">
                  <c:v>-9</c:v>
                </c:pt>
                <c:pt idx="23">
                  <c:v>-9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  <c:pt idx="28">
                  <c:v>-9</c:v>
                </c:pt>
                <c:pt idx="29">
                  <c:v>-9</c:v>
                </c:pt>
                <c:pt idx="30">
                  <c:v>-9</c:v>
                </c:pt>
                <c:pt idx="31">
                  <c:v>-9</c:v>
                </c:pt>
                <c:pt idx="32">
                  <c:v>-9</c:v>
                </c:pt>
                <c:pt idx="33">
                  <c:v>-9</c:v>
                </c:pt>
                <c:pt idx="34">
                  <c:v>-9</c:v>
                </c:pt>
                <c:pt idx="35">
                  <c:v>-9</c:v>
                </c:pt>
                <c:pt idx="36">
                  <c:v>-9</c:v>
                </c:pt>
                <c:pt idx="37">
                  <c:v>-9</c:v>
                </c:pt>
                <c:pt idx="38">
                  <c:v>-9</c:v>
                </c:pt>
                <c:pt idx="39">
                  <c:v>-9</c:v>
                </c:pt>
                <c:pt idx="40">
                  <c:v>-9</c:v>
                </c:pt>
                <c:pt idx="41">
                  <c:v>-9</c:v>
                </c:pt>
                <c:pt idx="42">
                  <c:v>-8</c:v>
                </c:pt>
                <c:pt idx="43">
                  <c:v>-8</c:v>
                </c:pt>
                <c:pt idx="44">
                  <c:v>-8</c:v>
                </c:pt>
                <c:pt idx="45">
                  <c:v>-8</c:v>
                </c:pt>
                <c:pt idx="46">
                  <c:v>-8</c:v>
                </c:pt>
                <c:pt idx="47">
                  <c:v>-8</c:v>
                </c:pt>
                <c:pt idx="48">
                  <c:v>-8</c:v>
                </c:pt>
                <c:pt idx="49">
                  <c:v>-8</c:v>
                </c:pt>
                <c:pt idx="50">
                  <c:v>-8</c:v>
                </c:pt>
                <c:pt idx="51">
                  <c:v>-8</c:v>
                </c:pt>
                <c:pt idx="52">
                  <c:v>-8</c:v>
                </c:pt>
                <c:pt idx="53">
                  <c:v>-8</c:v>
                </c:pt>
                <c:pt idx="54">
                  <c:v>-8</c:v>
                </c:pt>
                <c:pt idx="55">
                  <c:v>-8</c:v>
                </c:pt>
                <c:pt idx="56">
                  <c:v>-8</c:v>
                </c:pt>
                <c:pt idx="57">
                  <c:v>-8</c:v>
                </c:pt>
                <c:pt idx="58">
                  <c:v>-8</c:v>
                </c:pt>
                <c:pt idx="59">
                  <c:v>-8</c:v>
                </c:pt>
                <c:pt idx="60">
                  <c:v>-8</c:v>
                </c:pt>
                <c:pt idx="61">
                  <c:v>-8</c:v>
                </c:pt>
                <c:pt idx="62">
                  <c:v>-8</c:v>
                </c:pt>
                <c:pt idx="63">
                  <c:v>-7</c:v>
                </c:pt>
                <c:pt idx="64">
                  <c:v>-7</c:v>
                </c:pt>
                <c:pt idx="65">
                  <c:v>-7</c:v>
                </c:pt>
                <c:pt idx="66">
                  <c:v>-7</c:v>
                </c:pt>
                <c:pt idx="67">
                  <c:v>-7</c:v>
                </c:pt>
                <c:pt idx="68">
                  <c:v>-7</c:v>
                </c:pt>
                <c:pt idx="69">
                  <c:v>-7</c:v>
                </c:pt>
                <c:pt idx="70">
                  <c:v>-7</c:v>
                </c:pt>
                <c:pt idx="71">
                  <c:v>-7</c:v>
                </c:pt>
                <c:pt idx="72">
                  <c:v>-7</c:v>
                </c:pt>
                <c:pt idx="73">
                  <c:v>-7</c:v>
                </c:pt>
                <c:pt idx="74">
                  <c:v>-7</c:v>
                </c:pt>
                <c:pt idx="75">
                  <c:v>-7</c:v>
                </c:pt>
                <c:pt idx="76">
                  <c:v>-7</c:v>
                </c:pt>
                <c:pt idx="77">
                  <c:v>-7</c:v>
                </c:pt>
                <c:pt idx="78">
                  <c:v>-7</c:v>
                </c:pt>
                <c:pt idx="79">
                  <c:v>-7</c:v>
                </c:pt>
                <c:pt idx="80">
                  <c:v>-7</c:v>
                </c:pt>
                <c:pt idx="81">
                  <c:v>-7</c:v>
                </c:pt>
                <c:pt idx="82">
                  <c:v>-7</c:v>
                </c:pt>
                <c:pt idx="83">
                  <c:v>-7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-4</c:v>
                </c:pt>
                <c:pt idx="127">
                  <c:v>-4</c:v>
                </c:pt>
                <c:pt idx="128">
                  <c:v>-4</c:v>
                </c:pt>
                <c:pt idx="129">
                  <c:v>-4</c:v>
                </c:pt>
                <c:pt idx="130">
                  <c:v>-4</c:v>
                </c:pt>
                <c:pt idx="131">
                  <c:v>-4</c:v>
                </c:pt>
                <c:pt idx="132">
                  <c:v>-4</c:v>
                </c:pt>
                <c:pt idx="133">
                  <c:v>-4</c:v>
                </c:pt>
                <c:pt idx="134">
                  <c:v>-4</c:v>
                </c:pt>
                <c:pt idx="135">
                  <c:v>-4</c:v>
                </c:pt>
                <c:pt idx="136">
                  <c:v>-4</c:v>
                </c:pt>
                <c:pt idx="137">
                  <c:v>-4</c:v>
                </c:pt>
                <c:pt idx="138">
                  <c:v>-4</c:v>
                </c:pt>
                <c:pt idx="139">
                  <c:v>-4</c:v>
                </c:pt>
                <c:pt idx="140">
                  <c:v>-4</c:v>
                </c:pt>
                <c:pt idx="141">
                  <c:v>-4</c:v>
                </c:pt>
                <c:pt idx="142">
                  <c:v>-4</c:v>
                </c:pt>
                <c:pt idx="143">
                  <c:v>-4</c:v>
                </c:pt>
                <c:pt idx="144">
                  <c:v>-4</c:v>
                </c:pt>
                <c:pt idx="145">
                  <c:v>-4</c:v>
                </c:pt>
                <c:pt idx="146">
                  <c:v>-4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</c:v>
                </c:pt>
                <c:pt idx="155">
                  <c:v>-3</c:v>
                </c:pt>
                <c:pt idx="156">
                  <c:v>-3</c:v>
                </c:pt>
                <c:pt idx="157">
                  <c:v>-3</c:v>
                </c:pt>
                <c:pt idx="158">
                  <c:v>-3</c:v>
                </c:pt>
                <c:pt idx="159">
                  <c:v>-3</c:v>
                </c:pt>
                <c:pt idx="160">
                  <c:v>-3</c:v>
                </c:pt>
                <c:pt idx="161">
                  <c:v>-3</c:v>
                </c:pt>
                <c:pt idx="162">
                  <c:v>-3</c:v>
                </c:pt>
                <c:pt idx="163">
                  <c:v>-3</c:v>
                </c:pt>
                <c:pt idx="164">
                  <c:v>-3</c:v>
                </c:pt>
                <c:pt idx="165">
                  <c:v>-3</c:v>
                </c:pt>
                <c:pt idx="166">
                  <c:v>-3</c:v>
                </c:pt>
                <c:pt idx="167">
                  <c:v>-3</c:v>
                </c:pt>
                <c:pt idx="168">
                  <c:v>-2</c:v>
                </c:pt>
                <c:pt idx="169">
                  <c:v>-2</c:v>
                </c:pt>
                <c:pt idx="170">
                  <c:v>-2</c:v>
                </c:pt>
                <c:pt idx="171">
                  <c:v>-2</c:v>
                </c:pt>
                <c:pt idx="172">
                  <c:v>-2</c:v>
                </c:pt>
                <c:pt idx="173">
                  <c:v>-2</c:v>
                </c:pt>
                <c:pt idx="174">
                  <c:v>-2</c:v>
                </c:pt>
                <c:pt idx="175">
                  <c:v>-2</c:v>
                </c:pt>
                <c:pt idx="176">
                  <c:v>-2</c:v>
                </c:pt>
                <c:pt idx="177">
                  <c:v>-2</c:v>
                </c:pt>
                <c:pt idx="178">
                  <c:v>-2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6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9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Paths!$AC$1:$AC$441</c15:f>
                <c15:dlblRangeCache>
                  <c:ptCount val="441"/>
                  <c:pt idx="0">
                    <c:v>-10, -10</c:v>
                  </c:pt>
                  <c:pt idx="1">
                    <c:v>-9, -10</c:v>
                  </c:pt>
                  <c:pt idx="2">
                    <c:v>-8, -10</c:v>
                  </c:pt>
                  <c:pt idx="3">
                    <c:v>-7, -10</c:v>
                  </c:pt>
                  <c:pt idx="4">
                    <c:v>-6, -10</c:v>
                  </c:pt>
                  <c:pt idx="5">
                    <c:v>-5, -10</c:v>
                  </c:pt>
                  <c:pt idx="6">
                    <c:v>-4, -10</c:v>
                  </c:pt>
                  <c:pt idx="7">
                    <c:v>-3, -10</c:v>
                  </c:pt>
                  <c:pt idx="8">
                    <c:v>-2, -10</c:v>
                  </c:pt>
                  <c:pt idx="9">
                    <c:v>-1, -10</c:v>
                  </c:pt>
                  <c:pt idx="10">
                    <c:v>0, -10</c:v>
                  </c:pt>
                  <c:pt idx="11">
                    <c:v>1, -10</c:v>
                  </c:pt>
                  <c:pt idx="12">
                    <c:v>2, -10</c:v>
                  </c:pt>
                  <c:pt idx="13">
                    <c:v>3, -10</c:v>
                  </c:pt>
                  <c:pt idx="14">
                    <c:v>4, -10</c:v>
                  </c:pt>
                  <c:pt idx="15">
                    <c:v>5, -10</c:v>
                  </c:pt>
                  <c:pt idx="16">
                    <c:v>6, -10</c:v>
                  </c:pt>
                  <c:pt idx="17">
                    <c:v>7, -10</c:v>
                  </c:pt>
                  <c:pt idx="18">
                    <c:v>8, -10</c:v>
                  </c:pt>
                  <c:pt idx="19">
                    <c:v>9, -10</c:v>
                  </c:pt>
                  <c:pt idx="20">
                    <c:v>10, -10</c:v>
                  </c:pt>
                  <c:pt idx="21">
                    <c:v>-10, -9</c:v>
                  </c:pt>
                  <c:pt idx="22">
                    <c:v>-9, -9</c:v>
                  </c:pt>
                  <c:pt idx="23">
                    <c:v>-8, -9</c:v>
                  </c:pt>
                  <c:pt idx="24">
                    <c:v>-7, -9</c:v>
                  </c:pt>
                  <c:pt idx="25">
                    <c:v>-6, -9</c:v>
                  </c:pt>
                  <c:pt idx="26">
                    <c:v>-5, -9</c:v>
                  </c:pt>
                  <c:pt idx="27">
                    <c:v>-4, -9</c:v>
                  </c:pt>
                  <c:pt idx="28">
                    <c:v>-3, -9</c:v>
                  </c:pt>
                  <c:pt idx="29">
                    <c:v>-2, -9</c:v>
                  </c:pt>
                  <c:pt idx="30">
                    <c:v>-1, -9</c:v>
                  </c:pt>
                  <c:pt idx="31">
                    <c:v>0, -9</c:v>
                  </c:pt>
                  <c:pt idx="32">
                    <c:v>1, -9</c:v>
                  </c:pt>
                  <c:pt idx="33">
                    <c:v>2, -9</c:v>
                  </c:pt>
                  <c:pt idx="34">
                    <c:v>3, -9</c:v>
                  </c:pt>
                  <c:pt idx="35">
                    <c:v>4, -9</c:v>
                  </c:pt>
                  <c:pt idx="36">
                    <c:v>5, -9</c:v>
                  </c:pt>
                  <c:pt idx="37">
                    <c:v>6, -9</c:v>
                  </c:pt>
                  <c:pt idx="38">
                    <c:v>7, -9</c:v>
                  </c:pt>
                  <c:pt idx="39">
                    <c:v>8, -9</c:v>
                  </c:pt>
                  <c:pt idx="40">
                    <c:v>9, -9</c:v>
                  </c:pt>
                  <c:pt idx="41">
                    <c:v>10, -9</c:v>
                  </c:pt>
                  <c:pt idx="42">
                    <c:v>-10, -8</c:v>
                  </c:pt>
                  <c:pt idx="43">
                    <c:v>-9, -8</c:v>
                  </c:pt>
                  <c:pt idx="44">
                    <c:v>-8, -8</c:v>
                  </c:pt>
                  <c:pt idx="45">
                    <c:v>-7, -8</c:v>
                  </c:pt>
                  <c:pt idx="46">
                    <c:v>-6, -8</c:v>
                  </c:pt>
                  <c:pt idx="47">
                    <c:v>-5, -8</c:v>
                  </c:pt>
                  <c:pt idx="48">
                    <c:v>-4, -8</c:v>
                  </c:pt>
                  <c:pt idx="49">
                    <c:v>-3, -8</c:v>
                  </c:pt>
                  <c:pt idx="50">
                    <c:v>-2, -8</c:v>
                  </c:pt>
                  <c:pt idx="51">
                    <c:v>-1, -8</c:v>
                  </c:pt>
                  <c:pt idx="52">
                    <c:v>0, -8</c:v>
                  </c:pt>
                  <c:pt idx="53">
                    <c:v>1, -8</c:v>
                  </c:pt>
                  <c:pt idx="54">
                    <c:v>2, -8</c:v>
                  </c:pt>
                  <c:pt idx="55">
                    <c:v>3, -8</c:v>
                  </c:pt>
                  <c:pt idx="56">
                    <c:v>4, -8</c:v>
                  </c:pt>
                  <c:pt idx="57">
                    <c:v>5, -8</c:v>
                  </c:pt>
                  <c:pt idx="58">
                    <c:v>6, -8</c:v>
                  </c:pt>
                  <c:pt idx="59">
                    <c:v>7, -8</c:v>
                  </c:pt>
                  <c:pt idx="60">
                    <c:v>8, -8</c:v>
                  </c:pt>
                  <c:pt idx="61">
                    <c:v>9, -8</c:v>
                  </c:pt>
                  <c:pt idx="62">
                    <c:v>10, -8</c:v>
                  </c:pt>
                  <c:pt idx="63">
                    <c:v>-10, -7</c:v>
                  </c:pt>
                  <c:pt idx="64">
                    <c:v>-9, -7</c:v>
                  </c:pt>
                  <c:pt idx="65">
                    <c:v>-8, -7</c:v>
                  </c:pt>
                  <c:pt idx="66">
                    <c:v>-7, -7</c:v>
                  </c:pt>
                  <c:pt idx="67">
                    <c:v>-6, -7</c:v>
                  </c:pt>
                  <c:pt idx="68">
                    <c:v>-5, -7</c:v>
                  </c:pt>
                  <c:pt idx="69">
                    <c:v>-4, -7</c:v>
                  </c:pt>
                  <c:pt idx="70">
                    <c:v>-3, -7</c:v>
                  </c:pt>
                  <c:pt idx="71">
                    <c:v>-2, -7</c:v>
                  </c:pt>
                  <c:pt idx="72">
                    <c:v>-1, -7</c:v>
                  </c:pt>
                  <c:pt idx="73">
                    <c:v>0, -7</c:v>
                  </c:pt>
                  <c:pt idx="74">
                    <c:v>1, -7</c:v>
                  </c:pt>
                  <c:pt idx="75">
                    <c:v>2, -7</c:v>
                  </c:pt>
                  <c:pt idx="76">
                    <c:v>3, -7</c:v>
                  </c:pt>
                  <c:pt idx="77">
                    <c:v>4, -7</c:v>
                  </c:pt>
                  <c:pt idx="78">
                    <c:v>5, -7</c:v>
                  </c:pt>
                  <c:pt idx="79">
                    <c:v>6, -7</c:v>
                  </c:pt>
                  <c:pt idx="80">
                    <c:v>7, -7</c:v>
                  </c:pt>
                  <c:pt idx="81">
                    <c:v>8, -7</c:v>
                  </c:pt>
                  <c:pt idx="82">
                    <c:v>9, -7</c:v>
                  </c:pt>
                  <c:pt idx="83">
                    <c:v>10, -7</c:v>
                  </c:pt>
                  <c:pt idx="84">
                    <c:v>-10, -6</c:v>
                  </c:pt>
                  <c:pt idx="85">
                    <c:v>-9, -6</c:v>
                  </c:pt>
                  <c:pt idx="86">
                    <c:v>-8, -6</c:v>
                  </c:pt>
                  <c:pt idx="87">
                    <c:v>-7, -6</c:v>
                  </c:pt>
                  <c:pt idx="88">
                    <c:v>-6, -6</c:v>
                  </c:pt>
                  <c:pt idx="89">
                    <c:v>-5, -6</c:v>
                  </c:pt>
                  <c:pt idx="90">
                    <c:v>-4, -6</c:v>
                  </c:pt>
                  <c:pt idx="91">
                    <c:v>-3, -6</c:v>
                  </c:pt>
                  <c:pt idx="92">
                    <c:v>-2, -6</c:v>
                  </c:pt>
                  <c:pt idx="93">
                    <c:v>-1, -6</c:v>
                  </c:pt>
                  <c:pt idx="94">
                    <c:v>0, -6</c:v>
                  </c:pt>
                  <c:pt idx="95">
                    <c:v>1, -6</c:v>
                  </c:pt>
                  <c:pt idx="96">
                    <c:v>2, -6</c:v>
                  </c:pt>
                  <c:pt idx="97">
                    <c:v>3, -6</c:v>
                  </c:pt>
                  <c:pt idx="98">
                    <c:v>4, -6</c:v>
                  </c:pt>
                  <c:pt idx="99">
                    <c:v>5, -6</c:v>
                  </c:pt>
                  <c:pt idx="100">
                    <c:v>6, -6</c:v>
                  </c:pt>
                  <c:pt idx="101">
                    <c:v>7, -6</c:v>
                  </c:pt>
                  <c:pt idx="102">
                    <c:v>8, -6</c:v>
                  </c:pt>
                  <c:pt idx="103">
                    <c:v>9, -6</c:v>
                  </c:pt>
                  <c:pt idx="104">
                    <c:v>10, -6</c:v>
                  </c:pt>
                  <c:pt idx="105">
                    <c:v>-10, -5</c:v>
                  </c:pt>
                  <c:pt idx="106">
                    <c:v>-9, -5</c:v>
                  </c:pt>
                  <c:pt idx="107">
                    <c:v>-8, -5</c:v>
                  </c:pt>
                  <c:pt idx="108">
                    <c:v>-7, -5</c:v>
                  </c:pt>
                  <c:pt idx="109">
                    <c:v>-6, -5</c:v>
                  </c:pt>
                  <c:pt idx="110">
                    <c:v>-5, -5</c:v>
                  </c:pt>
                  <c:pt idx="111">
                    <c:v>-4, -5</c:v>
                  </c:pt>
                  <c:pt idx="112">
                    <c:v>-3, -5</c:v>
                  </c:pt>
                  <c:pt idx="113">
                    <c:v>-2, -5</c:v>
                  </c:pt>
                  <c:pt idx="114">
                    <c:v>-1, -5</c:v>
                  </c:pt>
                  <c:pt idx="115">
                    <c:v>0, -5</c:v>
                  </c:pt>
                  <c:pt idx="116">
                    <c:v>1, -5</c:v>
                  </c:pt>
                  <c:pt idx="117">
                    <c:v>2, -5</c:v>
                  </c:pt>
                  <c:pt idx="118">
                    <c:v>3, -5</c:v>
                  </c:pt>
                  <c:pt idx="119">
                    <c:v>4, -5</c:v>
                  </c:pt>
                  <c:pt idx="120">
                    <c:v>5, -5</c:v>
                  </c:pt>
                  <c:pt idx="121">
                    <c:v>6, -5</c:v>
                  </c:pt>
                  <c:pt idx="122">
                    <c:v>7, -5</c:v>
                  </c:pt>
                  <c:pt idx="123">
                    <c:v>8, -5</c:v>
                  </c:pt>
                  <c:pt idx="124">
                    <c:v>9, -5</c:v>
                  </c:pt>
                  <c:pt idx="125">
                    <c:v>10, -5</c:v>
                  </c:pt>
                  <c:pt idx="126">
                    <c:v>-10, -4</c:v>
                  </c:pt>
                  <c:pt idx="127">
                    <c:v>-9, -4</c:v>
                  </c:pt>
                  <c:pt idx="128">
                    <c:v>-8, -4</c:v>
                  </c:pt>
                  <c:pt idx="129">
                    <c:v>-7, -4</c:v>
                  </c:pt>
                  <c:pt idx="130">
                    <c:v>-6, -4</c:v>
                  </c:pt>
                  <c:pt idx="131">
                    <c:v>-5, -4</c:v>
                  </c:pt>
                  <c:pt idx="132">
                    <c:v>-4, -4</c:v>
                  </c:pt>
                  <c:pt idx="133">
                    <c:v>-3, -4</c:v>
                  </c:pt>
                  <c:pt idx="134">
                    <c:v>-2, -4</c:v>
                  </c:pt>
                  <c:pt idx="135">
                    <c:v>-1, -4</c:v>
                  </c:pt>
                  <c:pt idx="136">
                    <c:v>0, -4</c:v>
                  </c:pt>
                  <c:pt idx="137">
                    <c:v>1, -4</c:v>
                  </c:pt>
                  <c:pt idx="138">
                    <c:v>2, -4</c:v>
                  </c:pt>
                  <c:pt idx="139">
                    <c:v>3, -4</c:v>
                  </c:pt>
                  <c:pt idx="140">
                    <c:v>4, -4</c:v>
                  </c:pt>
                  <c:pt idx="141">
                    <c:v>5, -4</c:v>
                  </c:pt>
                  <c:pt idx="142">
                    <c:v>6, -4</c:v>
                  </c:pt>
                  <c:pt idx="143">
                    <c:v>7, -4</c:v>
                  </c:pt>
                  <c:pt idx="144">
                    <c:v>8, -4</c:v>
                  </c:pt>
                  <c:pt idx="145">
                    <c:v>9, -4</c:v>
                  </c:pt>
                  <c:pt idx="146">
                    <c:v>10, -4</c:v>
                  </c:pt>
                  <c:pt idx="147">
                    <c:v>-10, -3</c:v>
                  </c:pt>
                  <c:pt idx="148">
                    <c:v>-9, -3</c:v>
                  </c:pt>
                  <c:pt idx="149">
                    <c:v>-8, -3</c:v>
                  </c:pt>
                  <c:pt idx="150">
                    <c:v>-7, -3</c:v>
                  </c:pt>
                  <c:pt idx="151">
                    <c:v>-6, -3</c:v>
                  </c:pt>
                  <c:pt idx="152">
                    <c:v>-5, -3</c:v>
                  </c:pt>
                  <c:pt idx="153">
                    <c:v>-4, -3</c:v>
                  </c:pt>
                  <c:pt idx="154">
                    <c:v>-3, -3</c:v>
                  </c:pt>
                  <c:pt idx="155">
                    <c:v>-2, -3</c:v>
                  </c:pt>
                  <c:pt idx="156">
                    <c:v>-1, -3</c:v>
                  </c:pt>
                  <c:pt idx="157">
                    <c:v>0, -3</c:v>
                  </c:pt>
                  <c:pt idx="158">
                    <c:v>1, -3</c:v>
                  </c:pt>
                  <c:pt idx="159">
                    <c:v>2, -3</c:v>
                  </c:pt>
                  <c:pt idx="160">
                    <c:v>3, -3</c:v>
                  </c:pt>
                  <c:pt idx="161">
                    <c:v>4, -3</c:v>
                  </c:pt>
                  <c:pt idx="162">
                    <c:v>5, -3</c:v>
                  </c:pt>
                  <c:pt idx="163">
                    <c:v>6, -3</c:v>
                  </c:pt>
                  <c:pt idx="164">
                    <c:v>7, -3</c:v>
                  </c:pt>
                  <c:pt idx="165">
                    <c:v>8, -3</c:v>
                  </c:pt>
                  <c:pt idx="166">
                    <c:v>9, -3</c:v>
                  </c:pt>
                  <c:pt idx="167">
                    <c:v>10, -3</c:v>
                  </c:pt>
                  <c:pt idx="168">
                    <c:v>-10, -2</c:v>
                  </c:pt>
                  <c:pt idx="169">
                    <c:v>-9, -2</c:v>
                  </c:pt>
                  <c:pt idx="170">
                    <c:v>-8, -2</c:v>
                  </c:pt>
                  <c:pt idx="171">
                    <c:v>-7, -2</c:v>
                  </c:pt>
                  <c:pt idx="172">
                    <c:v>-6, -2</c:v>
                  </c:pt>
                  <c:pt idx="173">
                    <c:v>-5, -2</c:v>
                  </c:pt>
                  <c:pt idx="174">
                    <c:v>-4, -2</c:v>
                  </c:pt>
                  <c:pt idx="175">
                    <c:v>-3, -2</c:v>
                  </c:pt>
                  <c:pt idx="176">
                    <c:v>-2, -2</c:v>
                  </c:pt>
                  <c:pt idx="177">
                    <c:v>-1, -2</c:v>
                  </c:pt>
                  <c:pt idx="178">
                    <c:v>0, -2</c:v>
                  </c:pt>
                  <c:pt idx="179">
                    <c:v>1, -2</c:v>
                  </c:pt>
                  <c:pt idx="180">
                    <c:v>2, -2</c:v>
                  </c:pt>
                  <c:pt idx="181">
                    <c:v>3, -2</c:v>
                  </c:pt>
                  <c:pt idx="182">
                    <c:v>4, -2</c:v>
                  </c:pt>
                  <c:pt idx="183">
                    <c:v>5, -2</c:v>
                  </c:pt>
                  <c:pt idx="184">
                    <c:v>6, -2</c:v>
                  </c:pt>
                  <c:pt idx="185">
                    <c:v>7, -2</c:v>
                  </c:pt>
                  <c:pt idx="186">
                    <c:v>8, -2</c:v>
                  </c:pt>
                  <c:pt idx="187">
                    <c:v>9, -2</c:v>
                  </c:pt>
                  <c:pt idx="188">
                    <c:v>10, -2</c:v>
                  </c:pt>
                  <c:pt idx="189">
                    <c:v>-10, -1</c:v>
                  </c:pt>
                  <c:pt idx="190">
                    <c:v>-9, -1</c:v>
                  </c:pt>
                  <c:pt idx="191">
                    <c:v>-8, -1</c:v>
                  </c:pt>
                  <c:pt idx="192">
                    <c:v>-7, -1</c:v>
                  </c:pt>
                  <c:pt idx="193">
                    <c:v>-6, -1</c:v>
                  </c:pt>
                  <c:pt idx="194">
                    <c:v>-5, -1</c:v>
                  </c:pt>
                  <c:pt idx="195">
                    <c:v>-4, -1</c:v>
                  </c:pt>
                  <c:pt idx="196">
                    <c:v>-3, -1</c:v>
                  </c:pt>
                  <c:pt idx="197">
                    <c:v>-2, -1</c:v>
                  </c:pt>
                  <c:pt idx="198">
                    <c:v>-1, -1</c:v>
                  </c:pt>
                  <c:pt idx="199">
                    <c:v>0, -1</c:v>
                  </c:pt>
                  <c:pt idx="200">
                    <c:v>1, -1</c:v>
                  </c:pt>
                  <c:pt idx="201">
                    <c:v>2, -1</c:v>
                  </c:pt>
                  <c:pt idx="202">
                    <c:v>3, -1</c:v>
                  </c:pt>
                  <c:pt idx="203">
                    <c:v>4, -1</c:v>
                  </c:pt>
                  <c:pt idx="204">
                    <c:v>5, -1</c:v>
                  </c:pt>
                  <c:pt idx="205">
                    <c:v>6, -1</c:v>
                  </c:pt>
                  <c:pt idx="206">
                    <c:v>7, -1</c:v>
                  </c:pt>
                  <c:pt idx="207">
                    <c:v>8, -1</c:v>
                  </c:pt>
                  <c:pt idx="208">
                    <c:v>9, -1</c:v>
                  </c:pt>
                  <c:pt idx="209">
                    <c:v>10, -1</c:v>
                  </c:pt>
                  <c:pt idx="210">
                    <c:v>-10, 0</c:v>
                  </c:pt>
                  <c:pt idx="211">
                    <c:v>-9, 0</c:v>
                  </c:pt>
                  <c:pt idx="212">
                    <c:v>-8, 0</c:v>
                  </c:pt>
                  <c:pt idx="213">
                    <c:v>-7, 0</c:v>
                  </c:pt>
                  <c:pt idx="214">
                    <c:v>-6, 0</c:v>
                  </c:pt>
                  <c:pt idx="215">
                    <c:v>-5, 0</c:v>
                  </c:pt>
                  <c:pt idx="216">
                    <c:v>-4, 0</c:v>
                  </c:pt>
                  <c:pt idx="217">
                    <c:v>-3, 0</c:v>
                  </c:pt>
                  <c:pt idx="218">
                    <c:v>-2, 0</c:v>
                  </c:pt>
                  <c:pt idx="219">
                    <c:v>-1, 0</c:v>
                  </c:pt>
                  <c:pt idx="220">
                    <c:v>0, 0</c:v>
                  </c:pt>
                  <c:pt idx="221">
                    <c:v>1, 0</c:v>
                  </c:pt>
                  <c:pt idx="222">
                    <c:v>2, 0</c:v>
                  </c:pt>
                  <c:pt idx="223">
                    <c:v>3, 0</c:v>
                  </c:pt>
                  <c:pt idx="224">
                    <c:v>4, 0</c:v>
                  </c:pt>
                  <c:pt idx="225">
                    <c:v>5, 0</c:v>
                  </c:pt>
                  <c:pt idx="226">
                    <c:v>6, 0</c:v>
                  </c:pt>
                  <c:pt idx="227">
                    <c:v>7, 0</c:v>
                  </c:pt>
                  <c:pt idx="228">
                    <c:v>8, 0</c:v>
                  </c:pt>
                  <c:pt idx="229">
                    <c:v>9, 0</c:v>
                  </c:pt>
                  <c:pt idx="230">
                    <c:v>10, 0</c:v>
                  </c:pt>
                  <c:pt idx="231">
                    <c:v>-10, 1</c:v>
                  </c:pt>
                  <c:pt idx="232">
                    <c:v>-9, 1</c:v>
                  </c:pt>
                  <c:pt idx="233">
                    <c:v>-8, 1</c:v>
                  </c:pt>
                  <c:pt idx="234">
                    <c:v>-7, 1</c:v>
                  </c:pt>
                  <c:pt idx="235">
                    <c:v>-6, 1</c:v>
                  </c:pt>
                  <c:pt idx="236">
                    <c:v>-5, 1</c:v>
                  </c:pt>
                  <c:pt idx="237">
                    <c:v>-4, 1</c:v>
                  </c:pt>
                  <c:pt idx="238">
                    <c:v>-3, 1</c:v>
                  </c:pt>
                  <c:pt idx="239">
                    <c:v>-2, 1</c:v>
                  </c:pt>
                  <c:pt idx="240">
                    <c:v>-1, 1</c:v>
                  </c:pt>
                  <c:pt idx="241">
                    <c:v>0, 1</c:v>
                  </c:pt>
                  <c:pt idx="242">
                    <c:v>1, 1</c:v>
                  </c:pt>
                  <c:pt idx="243">
                    <c:v>2, 1</c:v>
                  </c:pt>
                  <c:pt idx="244">
                    <c:v>3, 1</c:v>
                  </c:pt>
                  <c:pt idx="245">
                    <c:v>4, 1</c:v>
                  </c:pt>
                  <c:pt idx="246">
                    <c:v>5, 1</c:v>
                  </c:pt>
                  <c:pt idx="247">
                    <c:v>6, 1</c:v>
                  </c:pt>
                  <c:pt idx="248">
                    <c:v>7, 1</c:v>
                  </c:pt>
                  <c:pt idx="249">
                    <c:v>8, 1</c:v>
                  </c:pt>
                  <c:pt idx="250">
                    <c:v>9, 1</c:v>
                  </c:pt>
                  <c:pt idx="251">
                    <c:v>10, 1</c:v>
                  </c:pt>
                  <c:pt idx="252">
                    <c:v>-10, 2</c:v>
                  </c:pt>
                  <c:pt idx="253">
                    <c:v>-9, 2</c:v>
                  </c:pt>
                  <c:pt idx="254">
                    <c:v>-8, 2</c:v>
                  </c:pt>
                  <c:pt idx="255">
                    <c:v>-7, 2</c:v>
                  </c:pt>
                  <c:pt idx="256">
                    <c:v>-6, 2</c:v>
                  </c:pt>
                  <c:pt idx="257">
                    <c:v>-5, 2</c:v>
                  </c:pt>
                  <c:pt idx="258">
                    <c:v>-4, 2</c:v>
                  </c:pt>
                  <c:pt idx="259">
                    <c:v>-3, 2</c:v>
                  </c:pt>
                  <c:pt idx="260">
                    <c:v>-2, 2</c:v>
                  </c:pt>
                  <c:pt idx="261">
                    <c:v>-1, 2</c:v>
                  </c:pt>
                  <c:pt idx="262">
                    <c:v>0, 2</c:v>
                  </c:pt>
                  <c:pt idx="263">
                    <c:v>1, 2</c:v>
                  </c:pt>
                  <c:pt idx="264">
                    <c:v>2, 2</c:v>
                  </c:pt>
                  <c:pt idx="265">
                    <c:v>3, 2</c:v>
                  </c:pt>
                  <c:pt idx="266">
                    <c:v>4, 2</c:v>
                  </c:pt>
                  <c:pt idx="267">
                    <c:v>5, 2</c:v>
                  </c:pt>
                  <c:pt idx="268">
                    <c:v>6, 2</c:v>
                  </c:pt>
                  <c:pt idx="269">
                    <c:v>7, 2</c:v>
                  </c:pt>
                  <c:pt idx="270">
                    <c:v>8, 2</c:v>
                  </c:pt>
                  <c:pt idx="271">
                    <c:v>9, 2</c:v>
                  </c:pt>
                  <c:pt idx="272">
                    <c:v>10, 2</c:v>
                  </c:pt>
                  <c:pt idx="273">
                    <c:v>-10, 3</c:v>
                  </c:pt>
                  <c:pt idx="274">
                    <c:v>-9, 3</c:v>
                  </c:pt>
                  <c:pt idx="275">
                    <c:v>-8, 3</c:v>
                  </c:pt>
                  <c:pt idx="276">
                    <c:v>-7, 3</c:v>
                  </c:pt>
                  <c:pt idx="277">
                    <c:v>-6, 3</c:v>
                  </c:pt>
                  <c:pt idx="278">
                    <c:v>-5, 3</c:v>
                  </c:pt>
                  <c:pt idx="279">
                    <c:v>-4, 3</c:v>
                  </c:pt>
                  <c:pt idx="280">
                    <c:v>-3, 3</c:v>
                  </c:pt>
                  <c:pt idx="281">
                    <c:v>-2, 3</c:v>
                  </c:pt>
                  <c:pt idx="282">
                    <c:v>-1, 3</c:v>
                  </c:pt>
                  <c:pt idx="283">
                    <c:v>0, 3</c:v>
                  </c:pt>
                  <c:pt idx="284">
                    <c:v>1, 3</c:v>
                  </c:pt>
                  <c:pt idx="285">
                    <c:v>2, 3</c:v>
                  </c:pt>
                  <c:pt idx="286">
                    <c:v>3, 3</c:v>
                  </c:pt>
                  <c:pt idx="287">
                    <c:v>4, 3</c:v>
                  </c:pt>
                  <c:pt idx="288">
                    <c:v>5, 3</c:v>
                  </c:pt>
                  <c:pt idx="289">
                    <c:v>6, 3</c:v>
                  </c:pt>
                  <c:pt idx="290">
                    <c:v>7, 3</c:v>
                  </c:pt>
                  <c:pt idx="291">
                    <c:v>8, 3</c:v>
                  </c:pt>
                  <c:pt idx="292">
                    <c:v>9, 3</c:v>
                  </c:pt>
                  <c:pt idx="293">
                    <c:v>10, 3</c:v>
                  </c:pt>
                  <c:pt idx="294">
                    <c:v>-10, 4</c:v>
                  </c:pt>
                  <c:pt idx="295">
                    <c:v>-9, 4</c:v>
                  </c:pt>
                  <c:pt idx="296">
                    <c:v>-8, 4</c:v>
                  </c:pt>
                  <c:pt idx="297">
                    <c:v>-7, 4</c:v>
                  </c:pt>
                  <c:pt idx="298">
                    <c:v>-6, 4</c:v>
                  </c:pt>
                  <c:pt idx="299">
                    <c:v>-5, 4</c:v>
                  </c:pt>
                  <c:pt idx="300">
                    <c:v>-4, 4</c:v>
                  </c:pt>
                  <c:pt idx="301">
                    <c:v>-3, 4</c:v>
                  </c:pt>
                  <c:pt idx="302">
                    <c:v>-2, 4</c:v>
                  </c:pt>
                  <c:pt idx="303">
                    <c:v>-1, 4</c:v>
                  </c:pt>
                  <c:pt idx="304">
                    <c:v>0, 4</c:v>
                  </c:pt>
                  <c:pt idx="305">
                    <c:v>1, 4</c:v>
                  </c:pt>
                  <c:pt idx="306">
                    <c:v>2, 4</c:v>
                  </c:pt>
                  <c:pt idx="307">
                    <c:v>3, 4</c:v>
                  </c:pt>
                  <c:pt idx="308">
                    <c:v>4, 4</c:v>
                  </c:pt>
                  <c:pt idx="309">
                    <c:v>5, 4</c:v>
                  </c:pt>
                  <c:pt idx="310">
                    <c:v>6, 4</c:v>
                  </c:pt>
                  <c:pt idx="311">
                    <c:v>7, 4</c:v>
                  </c:pt>
                  <c:pt idx="312">
                    <c:v>8, 4</c:v>
                  </c:pt>
                  <c:pt idx="313">
                    <c:v>9, 4</c:v>
                  </c:pt>
                  <c:pt idx="314">
                    <c:v>10, 4</c:v>
                  </c:pt>
                  <c:pt idx="315">
                    <c:v>-10, 5</c:v>
                  </c:pt>
                  <c:pt idx="316">
                    <c:v>-9, 5</c:v>
                  </c:pt>
                  <c:pt idx="317">
                    <c:v>-8, 5</c:v>
                  </c:pt>
                  <c:pt idx="318">
                    <c:v>-7, 5</c:v>
                  </c:pt>
                  <c:pt idx="319">
                    <c:v>-6, 5</c:v>
                  </c:pt>
                  <c:pt idx="320">
                    <c:v>-5, 5</c:v>
                  </c:pt>
                  <c:pt idx="321">
                    <c:v>-4, 5</c:v>
                  </c:pt>
                  <c:pt idx="322">
                    <c:v>-3, 5</c:v>
                  </c:pt>
                  <c:pt idx="323">
                    <c:v>-2, 5</c:v>
                  </c:pt>
                  <c:pt idx="324">
                    <c:v>-1, 5</c:v>
                  </c:pt>
                  <c:pt idx="325">
                    <c:v>0, 5</c:v>
                  </c:pt>
                  <c:pt idx="326">
                    <c:v>1, 5</c:v>
                  </c:pt>
                  <c:pt idx="327">
                    <c:v>2, 5</c:v>
                  </c:pt>
                  <c:pt idx="328">
                    <c:v>3, 5</c:v>
                  </c:pt>
                  <c:pt idx="329">
                    <c:v>4, 5</c:v>
                  </c:pt>
                  <c:pt idx="330">
                    <c:v>5, 5</c:v>
                  </c:pt>
                  <c:pt idx="331">
                    <c:v>6, 5</c:v>
                  </c:pt>
                  <c:pt idx="332">
                    <c:v>7, 5</c:v>
                  </c:pt>
                  <c:pt idx="333">
                    <c:v>8, 5</c:v>
                  </c:pt>
                  <c:pt idx="334">
                    <c:v>9, 5</c:v>
                  </c:pt>
                  <c:pt idx="335">
                    <c:v>10, 5</c:v>
                  </c:pt>
                  <c:pt idx="336">
                    <c:v>-10, 6</c:v>
                  </c:pt>
                  <c:pt idx="337">
                    <c:v>-9, 6</c:v>
                  </c:pt>
                  <c:pt idx="338">
                    <c:v>-8, 6</c:v>
                  </c:pt>
                  <c:pt idx="339">
                    <c:v>-7, 6</c:v>
                  </c:pt>
                  <c:pt idx="340">
                    <c:v>-6, 6</c:v>
                  </c:pt>
                  <c:pt idx="341">
                    <c:v>-5, 6</c:v>
                  </c:pt>
                  <c:pt idx="342">
                    <c:v>-4, 6</c:v>
                  </c:pt>
                  <c:pt idx="343">
                    <c:v>-3, 6</c:v>
                  </c:pt>
                  <c:pt idx="344">
                    <c:v>-2, 6</c:v>
                  </c:pt>
                  <c:pt idx="345">
                    <c:v>-1, 6</c:v>
                  </c:pt>
                  <c:pt idx="346">
                    <c:v>0, 6</c:v>
                  </c:pt>
                  <c:pt idx="347">
                    <c:v>1, 6</c:v>
                  </c:pt>
                  <c:pt idx="348">
                    <c:v>2, 6</c:v>
                  </c:pt>
                  <c:pt idx="349">
                    <c:v>3, 6</c:v>
                  </c:pt>
                  <c:pt idx="350">
                    <c:v>4, 6</c:v>
                  </c:pt>
                  <c:pt idx="351">
                    <c:v>5, 6</c:v>
                  </c:pt>
                  <c:pt idx="352">
                    <c:v>6, 6</c:v>
                  </c:pt>
                  <c:pt idx="353">
                    <c:v>7, 6</c:v>
                  </c:pt>
                  <c:pt idx="354">
                    <c:v>8, 6</c:v>
                  </c:pt>
                  <c:pt idx="355">
                    <c:v>9, 6</c:v>
                  </c:pt>
                  <c:pt idx="356">
                    <c:v>10, 6</c:v>
                  </c:pt>
                  <c:pt idx="357">
                    <c:v>-10, 7</c:v>
                  </c:pt>
                  <c:pt idx="358">
                    <c:v>-9, 7</c:v>
                  </c:pt>
                  <c:pt idx="359">
                    <c:v>-8, 7</c:v>
                  </c:pt>
                  <c:pt idx="360">
                    <c:v>-7, 7</c:v>
                  </c:pt>
                  <c:pt idx="361">
                    <c:v>-6, 7</c:v>
                  </c:pt>
                  <c:pt idx="362">
                    <c:v>-5, 7</c:v>
                  </c:pt>
                  <c:pt idx="363">
                    <c:v>-4, 7</c:v>
                  </c:pt>
                  <c:pt idx="364">
                    <c:v>-3, 7</c:v>
                  </c:pt>
                  <c:pt idx="365">
                    <c:v>-2, 7</c:v>
                  </c:pt>
                  <c:pt idx="366">
                    <c:v>-1, 7</c:v>
                  </c:pt>
                  <c:pt idx="367">
                    <c:v>0, 7</c:v>
                  </c:pt>
                  <c:pt idx="368">
                    <c:v>1, 7</c:v>
                  </c:pt>
                  <c:pt idx="369">
                    <c:v>2, 7</c:v>
                  </c:pt>
                  <c:pt idx="370">
                    <c:v>3, 7</c:v>
                  </c:pt>
                  <c:pt idx="371">
                    <c:v>4, 7</c:v>
                  </c:pt>
                  <c:pt idx="372">
                    <c:v>5, 7</c:v>
                  </c:pt>
                  <c:pt idx="373">
                    <c:v>6, 7</c:v>
                  </c:pt>
                  <c:pt idx="374">
                    <c:v>7, 7</c:v>
                  </c:pt>
                  <c:pt idx="375">
                    <c:v>8, 7</c:v>
                  </c:pt>
                  <c:pt idx="376">
                    <c:v>9, 7</c:v>
                  </c:pt>
                  <c:pt idx="377">
                    <c:v>10, 7</c:v>
                  </c:pt>
                  <c:pt idx="378">
                    <c:v>-10, 8</c:v>
                  </c:pt>
                  <c:pt idx="379">
                    <c:v>-9, 8</c:v>
                  </c:pt>
                  <c:pt idx="380">
                    <c:v>-8, 8</c:v>
                  </c:pt>
                  <c:pt idx="381">
                    <c:v>-7, 8</c:v>
                  </c:pt>
                  <c:pt idx="382">
                    <c:v>-6, 8</c:v>
                  </c:pt>
                  <c:pt idx="383">
                    <c:v>-5, 8</c:v>
                  </c:pt>
                  <c:pt idx="384">
                    <c:v>-4, 8</c:v>
                  </c:pt>
                  <c:pt idx="385">
                    <c:v>-3, 8</c:v>
                  </c:pt>
                  <c:pt idx="386">
                    <c:v>-2, 8</c:v>
                  </c:pt>
                  <c:pt idx="387">
                    <c:v>-1, 8</c:v>
                  </c:pt>
                  <c:pt idx="388">
                    <c:v>0, 8</c:v>
                  </c:pt>
                  <c:pt idx="389">
                    <c:v>1, 8</c:v>
                  </c:pt>
                  <c:pt idx="390">
                    <c:v>2, 8</c:v>
                  </c:pt>
                  <c:pt idx="391">
                    <c:v>3, 8</c:v>
                  </c:pt>
                  <c:pt idx="392">
                    <c:v>4, 8</c:v>
                  </c:pt>
                  <c:pt idx="393">
                    <c:v>5, 8</c:v>
                  </c:pt>
                  <c:pt idx="394">
                    <c:v>6, 8</c:v>
                  </c:pt>
                  <c:pt idx="395">
                    <c:v>7, 8</c:v>
                  </c:pt>
                  <c:pt idx="396">
                    <c:v>8, 8</c:v>
                  </c:pt>
                  <c:pt idx="397">
                    <c:v>9, 8</c:v>
                  </c:pt>
                  <c:pt idx="398">
                    <c:v>10, 8</c:v>
                  </c:pt>
                  <c:pt idx="399">
                    <c:v>-10, 9</c:v>
                  </c:pt>
                  <c:pt idx="400">
                    <c:v>-9, 9</c:v>
                  </c:pt>
                  <c:pt idx="401">
                    <c:v>-8, 9</c:v>
                  </c:pt>
                  <c:pt idx="402">
                    <c:v>-7, 9</c:v>
                  </c:pt>
                  <c:pt idx="403">
                    <c:v>-6, 9</c:v>
                  </c:pt>
                  <c:pt idx="404">
                    <c:v>-5, 9</c:v>
                  </c:pt>
                  <c:pt idx="405">
                    <c:v>-4, 9</c:v>
                  </c:pt>
                  <c:pt idx="406">
                    <c:v>-3, 9</c:v>
                  </c:pt>
                  <c:pt idx="407">
                    <c:v>-2, 9</c:v>
                  </c:pt>
                  <c:pt idx="408">
                    <c:v>-1, 9</c:v>
                  </c:pt>
                  <c:pt idx="409">
                    <c:v>0, 9</c:v>
                  </c:pt>
                  <c:pt idx="410">
                    <c:v>1, 9</c:v>
                  </c:pt>
                  <c:pt idx="411">
                    <c:v>2, 9</c:v>
                  </c:pt>
                  <c:pt idx="412">
                    <c:v>3, 9</c:v>
                  </c:pt>
                  <c:pt idx="413">
                    <c:v>4, 9</c:v>
                  </c:pt>
                  <c:pt idx="414">
                    <c:v>5, 9</c:v>
                  </c:pt>
                  <c:pt idx="415">
                    <c:v>6, 9</c:v>
                  </c:pt>
                  <c:pt idx="416">
                    <c:v>7, 9</c:v>
                  </c:pt>
                  <c:pt idx="417">
                    <c:v>8, 9</c:v>
                  </c:pt>
                  <c:pt idx="418">
                    <c:v>9, 9</c:v>
                  </c:pt>
                  <c:pt idx="419">
                    <c:v>10, 9</c:v>
                  </c:pt>
                  <c:pt idx="420">
                    <c:v>-10, 10</c:v>
                  </c:pt>
                  <c:pt idx="421">
                    <c:v>-9, 10</c:v>
                  </c:pt>
                  <c:pt idx="422">
                    <c:v>-8, 10</c:v>
                  </c:pt>
                  <c:pt idx="423">
                    <c:v>-7, 10</c:v>
                  </c:pt>
                  <c:pt idx="424">
                    <c:v>-6, 10</c:v>
                  </c:pt>
                  <c:pt idx="425">
                    <c:v>-5, 10</c:v>
                  </c:pt>
                  <c:pt idx="426">
                    <c:v>-4, 10</c:v>
                  </c:pt>
                  <c:pt idx="427">
                    <c:v>-3, 10</c:v>
                  </c:pt>
                  <c:pt idx="428">
                    <c:v>-2, 10</c:v>
                  </c:pt>
                  <c:pt idx="429">
                    <c:v>-1, 10</c:v>
                  </c:pt>
                  <c:pt idx="430">
                    <c:v>0, 10</c:v>
                  </c:pt>
                  <c:pt idx="431">
                    <c:v>1, 10</c:v>
                  </c:pt>
                  <c:pt idx="432">
                    <c:v>2, 10</c:v>
                  </c:pt>
                  <c:pt idx="433">
                    <c:v>3, 10</c:v>
                  </c:pt>
                  <c:pt idx="434">
                    <c:v>4, 10</c:v>
                  </c:pt>
                  <c:pt idx="435">
                    <c:v>5, 10</c:v>
                  </c:pt>
                  <c:pt idx="436">
                    <c:v>6, 10</c:v>
                  </c:pt>
                  <c:pt idx="437">
                    <c:v>7, 10</c:v>
                  </c:pt>
                  <c:pt idx="438">
                    <c:v>8, 10</c:v>
                  </c:pt>
                  <c:pt idx="439">
                    <c:v>9, 10</c:v>
                  </c:pt>
                  <c:pt idx="440">
                    <c:v>10, 10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B9-CE22-4BEC-ACB0-D5E36310785A}"/>
            </c:ext>
          </c:extLst>
        </c:ser>
        <c:ser>
          <c:idx val="1"/>
          <c:order val="1"/>
          <c:tx>
            <c:strRef>
              <c:f>Paths!$C$1</c:f>
              <c:strCache>
                <c:ptCount val="1"/>
                <c:pt idx="0">
                  <c:v>Paths</c:v>
                </c:pt>
              </c:strCache>
            </c:strRef>
          </c:tx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Paths!$A$2:$A$400</c:f>
              <c:numCache>
                <c:formatCode>General</c:formatCode>
                <c:ptCount val="399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0</c:v>
                </c:pt>
                <c:pt idx="10">
                  <c:v>0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0</c:v>
                </c:pt>
                <c:pt idx="31">
                  <c:v>0</c:v>
                </c:pt>
                <c:pt idx="33">
                  <c:v>2</c:v>
                </c:pt>
                <c:pt idx="34">
                  <c:v>2</c:v>
                </c:pt>
                <c:pt idx="36">
                  <c:v>2</c:v>
                </c:pt>
                <c:pt idx="37">
                  <c:v>2</c:v>
                </c:pt>
                <c:pt idx="39">
                  <c:v>2</c:v>
                </c:pt>
                <c:pt idx="40">
                  <c:v>2</c:v>
                </c:pt>
                <c:pt idx="42">
                  <c:v>2</c:v>
                </c:pt>
                <c:pt idx="43">
                  <c:v>2</c:v>
                </c:pt>
                <c:pt idx="45">
                  <c:v>2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1">
                  <c:v>0</c:v>
                </c:pt>
                <c:pt idx="52">
                  <c:v>0</c:v>
                </c:pt>
                <c:pt idx="54">
                  <c:v>3</c:v>
                </c:pt>
                <c:pt idx="55">
                  <c:v>3</c:v>
                </c:pt>
                <c:pt idx="57">
                  <c:v>3</c:v>
                </c:pt>
                <c:pt idx="58">
                  <c:v>3</c:v>
                </c:pt>
                <c:pt idx="60">
                  <c:v>3</c:v>
                </c:pt>
                <c:pt idx="61">
                  <c:v>3</c:v>
                </c:pt>
                <c:pt idx="63">
                  <c:v>3</c:v>
                </c:pt>
                <c:pt idx="64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0">
                  <c:v>3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10</c:v>
                </c:pt>
                <c:pt idx="81">
                  <c:v>10</c:v>
                </c:pt>
                <c:pt idx="82">
                  <c:v>10</c:v>
                </c:pt>
                <c:pt idx="84">
                  <c:v>10</c:v>
                </c:pt>
                <c:pt idx="85">
                  <c:v>-10</c:v>
                </c:pt>
                <c:pt idx="87">
                  <c:v>-10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3</c:v>
                </c:pt>
                <c:pt idx="122">
                  <c:v>3</c:v>
                </c:pt>
                <c:pt idx="123">
                  <c:v>1</c:v>
                </c:pt>
                <c:pt idx="124">
                  <c:v>1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</c:numCache>
            </c:numRef>
          </c:xVal>
          <c:yVal>
            <c:numRef>
              <c:f>Paths!$B$2:$B$400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1</c:v>
                </c:pt>
                <c:pt idx="15">
                  <c:v>1</c:v>
                </c:pt>
                <c:pt idx="16">
                  <c:v>2</c:v>
                </c:pt>
                <c:pt idx="18">
                  <c:v>2</c:v>
                </c:pt>
                <c:pt idx="19">
                  <c:v>3</c:v>
                </c:pt>
                <c:pt idx="21">
                  <c:v>3</c:v>
                </c:pt>
                <c:pt idx="22">
                  <c:v>4</c:v>
                </c:pt>
                <c:pt idx="24">
                  <c:v>4</c:v>
                </c:pt>
                <c:pt idx="25">
                  <c:v>5</c:v>
                </c:pt>
                <c:pt idx="27">
                  <c:v>5</c:v>
                </c:pt>
                <c:pt idx="28">
                  <c:v>6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-1</c:v>
                </c:pt>
                <c:pt idx="36">
                  <c:v>-1</c:v>
                </c:pt>
                <c:pt idx="37">
                  <c:v>-2</c:v>
                </c:pt>
                <c:pt idx="39">
                  <c:v>-2</c:v>
                </c:pt>
                <c:pt idx="40">
                  <c:v>-3</c:v>
                </c:pt>
                <c:pt idx="42">
                  <c:v>-3</c:v>
                </c:pt>
                <c:pt idx="43">
                  <c:v>-4</c:v>
                </c:pt>
                <c:pt idx="45">
                  <c:v>-4</c:v>
                </c:pt>
                <c:pt idx="46">
                  <c:v>-5</c:v>
                </c:pt>
                <c:pt idx="48">
                  <c:v>-5</c:v>
                </c:pt>
                <c:pt idx="49">
                  <c:v>-6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1</c:v>
                </c:pt>
                <c:pt idx="57">
                  <c:v>1</c:v>
                </c:pt>
                <c:pt idx="58">
                  <c:v>2</c:v>
                </c:pt>
                <c:pt idx="60">
                  <c:v>2</c:v>
                </c:pt>
                <c:pt idx="61">
                  <c:v>3</c:v>
                </c:pt>
                <c:pt idx="63">
                  <c:v>3</c:v>
                </c:pt>
                <c:pt idx="64">
                  <c:v>4</c:v>
                </c:pt>
                <c:pt idx="66">
                  <c:v>4</c:v>
                </c:pt>
                <c:pt idx="67">
                  <c:v>5</c:v>
                </c:pt>
                <c:pt idx="69">
                  <c:v>5</c:v>
                </c:pt>
                <c:pt idx="70">
                  <c:v>6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-10</c:v>
                </c:pt>
                <c:pt idx="81">
                  <c:v>-10</c:v>
                </c:pt>
                <c:pt idx="82">
                  <c:v>10</c:v>
                </c:pt>
                <c:pt idx="84">
                  <c:v>10</c:v>
                </c:pt>
                <c:pt idx="85">
                  <c:v>10</c:v>
                </c:pt>
                <c:pt idx="87">
                  <c:v>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6</c:v>
                </c:pt>
                <c:pt idx="122">
                  <c:v>7</c:v>
                </c:pt>
                <c:pt idx="123">
                  <c:v>7</c:v>
                </c:pt>
                <c:pt idx="124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A-CE22-4BEC-ACB0-D5E36310785A}"/>
            </c:ext>
          </c:extLst>
        </c:ser>
        <c:ser>
          <c:idx val="0"/>
          <c:order val="2"/>
          <c:tx>
            <c:strRef>
              <c:f>Spots!$C$1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gradFill>
                <a:gsLst>
                  <a:gs pos="0">
                    <a:srgbClr val="E5FFFF"/>
                  </a:gs>
                  <a:gs pos="100000">
                    <a:srgbClr val="21C5FF"/>
                  </a:gs>
                </a:gsLst>
                <a:lin ang="5400000" scaled="1"/>
              </a:gradFill>
              <a:ln w="3175">
                <a:solidFill>
                  <a:srgbClr val="21C5FF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1BB-CE22-4BEC-ACB0-D5E36310785A}"/>
              </c:ext>
            </c:extLst>
          </c:dPt>
          <c:dLbls>
            <c:dLbl>
              <c:idx val="0"/>
              <c:layout>
                <c:manualLayout>
                  <c:x val="-4.1369260716376088E-2"/>
                  <c:y val="-2.2029921391318923E-2"/>
                </c:manualLayout>
              </c:layout>
              <c:tx>
                <c:rich>
                  <a:bodyPr rot="0" vertOverflow="overflow" horzOverflow="overflow" vert="horz" wrap="square" lIns="36000" tIns="36000" rIns="36000" bIns="36000" anchor="ctr" anchorCtr="0">
                    <a:noAutofit/>
                  </a:bodyPr>
                  <a:lstStyle/>
                  <a:p>
                    <a:pPr>
                      <a:defRPr sz="700">
                        <a:solidFill>
                          <a:sysClr val="windowText" lastClr="000000"/>
                        </a:solidFill>
                      </a:defRPr>
                    </a:pPr>
                    <a:fld id="{9454C424-BF1D-4556-ADDE-82F95898171A}" type="CELLRANGE">
                      <a:rPr lang="en-US"/>
                      <a:pPr>
                        <a:defRPr sz="700">
                          <a:solidFill>
                            <a:sysClr val="windowText" lastClr="000000"/>
                          </a:solidFill>
                        </a:defRPr>
                      </a:pPr>
                      <a:t>[CELLRANGE]</a:t>
                    </a:fld>
                    <a:endParaRPr lang="en-IN"/>
                  </a:p>
                </c:rich>
              </c:tx>
              <c:spPr>
                <a:gradFill>
                  <a:gsLst>
                    <a:gs pos="0">
                      <a:srgbClr val="4F81BD">
                        <a:lumMod val="5000"/>
                        <a:lumOff val="95000"/>
                        <a:alpha val="30000"/>
                      </a:srgbClr>
                    </a:gs>
                    <a:gs pos="97000">
                      <a:srgbClr val="00B0F0"/>
                    </a:gs>
                    <a:gs pos="50000">
                      <a:srgbClr val="ECF1F8"/>
                    </a:gs>
                  </a:gsLst>
                  <a:lin ang="5400000" scaled="1"/>
                </a:gradFill>
                <a:ln w="6350">
                  <a:solidFill>
                    <a:srgbClr val="00B0F0"/>
                  </a:solidFill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oundRectCallout">
                      <a:avLst/>
                    </a:prstGeom>
                  </c15:spPr>
                  <c15:layout>
                    <c:manualLayout>
                      <c:w val="3.496047280320267E-2"/>
                      <c:h val="2.062264844783565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B-CE22-4BEC-ACB0-D5E36310785A}"/>
                </c:ext>
              </c:extLst>
            </c:dLbl>
            <c:dLbl>
              <c:idx val="1"/>
              <c:layout>
                <c:manualLayout>
                  <c:x val="-4.0498287057951304E-2"/>
                  <c:y val="-2.1214557470474217E-2"/>
                </c:manualLayout>
              </c:layout>
              <c:tx>
                <c:rich>
                  <a:bodyPr/>
                  <a:lstStyle/>
                  <a:p>
                    <a:fld id="{AA16FA90-B783-4C0E-A487-077B377228B0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C-CE22-4BEC-ACB0-D5E36310785A}"/>
                </c:ext>
              </c:extLst>
            </c:dLbl>
            <c:dLbl>
              <c:idx val="2"/>
              <c:layout>
                <c:manualLayout>
                  <c:x val="-3.4403306580179066E-2"/>
                  <c:y val="-2.11276811635428E-2"/>
                </c:manualLayout>
              </c:layout>
              <c:tx>
                <c:rich>
                  <a:bodyPr/>
                  <a:lstStyle/>
                  <a:p>
                    <a:fld id="{861BD71A-DDB6-4FF3-9CE8-979D7590591F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D-CE22-4BEC-ACB0-D5E36310785A}"/>
                </c:ext>
              </c:extLst>
            </c:dLbl>
            <c:dLbl>
              <c:idx val="3"/>
              <c:layout>
                <c:manualLayout>
                  <c:x val="-1.1812127831569211E-2"/>
                  <c:y val="-2.121630321186636E-2"/>
                </c:manualLayout>
              </c:layout>
              <c:tx>
                <c:rich>
                  <a:bodyPr/>
                  <a:lstStyle/>
                  <a:p>
                    <a:fld id="{0057D2D7-91F3-4D6A-BF31-9D0382919F8F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E-CE22-4BEC-ACB0-D5E3631078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CE22-4BEC-ACB0-D5E3631078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1AD5B3-9011-4E43-8E49-206A4AF847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CE22-4BEC-ACB0-D5E3631078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D5D82B-4AB9-43A4-B35B-F55B11719EF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CE22-4BEC-ACB0-D5E3631078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F85B60-1B7A-4AE7-8DD6-B67E4CB527C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CE22-4BEC-ACB0-D5E3631078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BC04E3-5C79-4B52-AA93-9F13086521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CE22-4BEC-ACB0-D5E3631078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EE0CF1-BE48-4460-B2B7-D8F8532972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CE22-4BEC-ACB0-D5E3631078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199ACB-C648-42A3-81B7-05BB189448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CE22-4BEC-ACB0-D5E3631078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CE22-4BEC-ACB0-D5E3631078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83B0E2-A7CE-4F40-B80D-4FF1264B898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CE22-4BEC-ACB0-D5E3631078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BFECFD4-DC42-4ED1-97D6-8AFAB14475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CE22-4BEC-ACB0-D5E3631078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AC7E59-C7EB-49F7-8598-3E844B5AED4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CE22-4BEC-ACB0-D5E3631078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A4E2A8-793F-43AB-9CBA-37E8EC9748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CE22-4BEC-ACB0-D5E3631078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1201F1-3647-40DA-A8BE-961D11D4E00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CE22-4BEC-ACB0-D5E3631078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4C2910E-0438-4E04-AD7F-5C63A1ACFA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CE22-4BEC-ACB0-D5E3631078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CE22-4BEC-ACB0-D5E3631078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CD85EF-9EB2-4886-B66D-DD29216139F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CE22-4BEC-ACB0-D5E3631078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142153-B493-48BD-9CDD-AAC257C688C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CE22-4BEC-ACB0-D5E3631078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9FB8013-8FE7-4282-9B7E-8BF9D0ED6F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CE22-4BEC-ACB0-D5E3631078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B82EB6-A0E8-4BAF-82F4-EC66966DB2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CE22-4BEC-ACB0-D5E3631078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11170AD-0D40-4807-BBCD-28FA30BAAD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CE22-4BEC-ACB0-D5E3631078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9F4E71-BCF7-46C2-A82B-C5552EE9D2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CE22-4BEC-ACB0-D5E3631078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CE22-4BEC-ACB0-D5E3631078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67893E-9B70-4A62-9405-AE62C37692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CE22-4BEC-ACB0-D5E3631078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257BBC-155A-4380-BC9E-7F5E0C87565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CE22-4BEC-ACB0-D5E3631078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CE22-4BEC-ACB0-D5E3631078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AC3C46-761B-4AA2-855B-0F4315A5403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CE22-4BEC-ACB0-D5E3631078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E89284-0A53-4012-99A8-3A930B2D75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CE22-4BEC-ACB0-D5E3631078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396CEB-8FF9-450D-AD24-519EBF05F30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CE22-4BEC-ACB0-D5E3631078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C3C8E5-44AF-488E-9FBA-B8220BC33D9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CE22-4BEC-ACB0-D5E3631078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CE22-4BEC-ACB0-D5E3631078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CE22-4BEC-ACB0-D5E3631078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CE22-4BEC-ACB0-D5E3631078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CE22-4BEC-ACB0-D5E3631078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CE22-4BEC-ACB0-D5E3631078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CE22-4BEC-ACB0-D5E3631078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CE22-4BEC-ACB0-D5E3631078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CE22-4BEC-ACB0-D5E3631078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CE22-4BEC-ACB0-D5E3631078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CE22-4BEC-ACB0-D5E3631078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CE22-4BEC-ACB0-D5E3631078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CE22-4BEC-ACB0-D5E3631078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CE22-4BEC-ACB0-D5E3631078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CE22-4BEC-ACB0-D5E3631078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CE22-4BEC-ACB0-D5E3631078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CE22-4BEC-ACB0-D5E3631078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CE22-4BEC-ACB0-D5E3631078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CE22-4BEC-ACB0-D5E3631078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CE22-4BEC-ACB0-D5E3631078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CE22-4BEC-ACB0-D5E3631078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CE22-4BEC-ACB0-D5E3631078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CE22-4BEC-ACB0-D5E3631078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CE22-4BEC-ACB0-D5E3631078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CE22-4BEC-ACB0-D5E3631078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CE22-4BEC-ACB0-D5E3631078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CE22-4BEC-ACB0-D5E3631078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CE22-4BEC-ACB0-D5E3631078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CE22-4BEC-ACB0-D5E3631078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CE22-4BEC-ACB0-D5E3631078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CE22-4BEC-ACB0-D5E3631078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CE22-4BEC-ACB0-D5E3631078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CE22-4BEC-ACB0-D5E3631078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CE22-4BEC-ACB0-D5E3631078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CE22-4BEC-ACB0-D5E3631078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CE22-4BEC-ACB0-D5E3631078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CE22-4BEC-ACB0-D5E3631078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CE22-4BEC-ACB0-D5E3631078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CE22-4BEC-ACB0-D5E3631078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CE22-4BEC-ACB0-D5E3631078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CE22-4BEC-ACB0-D5E3631078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CE22-4BEC-ACB0-D5E3631078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CE22-4BEC-ACB0-D5E3631078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CE22-4BEC-ACB0-D5E3631078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CE22-4BEC-ACB0-D5E3631078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CE22-4BEC-ACB0-D5E3631078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CE22-4BEC-ACB0-D5E3631078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CE22-4BEC-ACB0-D5E3631078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CE22-4BEC-ACB0-D5E3631078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CE22-4BEC-ACB0-D5E3631078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CE22-4BEC-ACB0-D5E3631078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CE22-4BEC-ACB0-D5E3631078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CE22-4BEC-ACB0-D5E3631078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CE22-4BEC-ACB0-D5E3631078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CE22-4BEC-ACB0-D5E3631078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CE22-4BEC-ACB0-D5E3631078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CE22-4BEC-ACB0-D5E3631078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CE22-4BEC-ACB0-D5E3631078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CE22-4BEC-ACB0-D5E3631078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CE22-4BEC-ACB0-D5E3631078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CE22-4BEC-ACB0-D5E3631078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CE22-4BEC-ACB0-D5E3631078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CE22-4BEC-ACB0-D5E3631078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CE22-4BEC-ACB0-D5E3631078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CE22-4BEC-ACB0-D5E3631078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CE22-4BEC-ACB0-D5E3631078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CE22-4BEC-ACB0-D5E3631078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CE22-4BEC-ACB0-D5E3631078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CE22-4BEC-ACB0-D5E3631078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CE22-4BEC-ACB0-D5E3631078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CE22-4BEC-ACB0-D5E3631078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CE22-4BEC-ACB0-D5E3631078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CE22-4BEC-ACB0-D5E3631078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CE22-4BEC-ACB0-D5E3631078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CE22-4BEC-ACB0-D5E3631078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CE22-4BEC-ACB0-D5E3631078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CE22-4BEC-ACB0-D5E3631078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CE22-4BEC-ACB0-D5E3631078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CE22-4BEC-ACB0-D5E3631078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CE22-4BEC-ACB0-D5E3631078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CE22-4BEC-ACB0-D5E3631078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CE22-4BEC-ACB0-D5E3631078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CE22-4BEC-ACB0-D5E3631078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CE22-4BEC-ACB0-D5E3631078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CE22-4BEC-ACB0-D5E3631078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CE22-4BEC-ACB0-D5E3631078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CE22-4BEC-ACB0-D5E3631078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CE22-4BEC-ACB0-D5E3631078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CE22-4BEC-ACB0-D5E3631078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CE22-4BEC-ACB0-D5E3631078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CE22-4BEC-ACB0-D5E3631078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CE22-4BEC-ACB0-D5E3631078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CE22-4BEC-ACB0-D5E3631078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CE22-4BEC-ACB0-D5E3631078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CE22-4BEC-ACB0-D5E3631078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CE22-4BEC-ACB0-D5E3631078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CE22-4BEC-ACB0-D5E3631078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CE22-4BEC-ACB0-D5E3631078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CE22-4BEC-ACB0-D5E3631078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CE22-4BEC-ACB0-D5E3631078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CE22-4BEC-ACB0-D5E3631078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CE22-4BEC-ACB0-D5E3631078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CE22-4BEC-ACB0-D5E3631078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CE22-4BEC-ACB0-D5E3631078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CE22-4BEC-ACB0-D5E3631078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CE22-4BEC-ACB0-D5E3631078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CE22-4BEC-ACB0-D5E3631078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CE22-4BEC-ACB0-D5E3631078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CE22-4BEC-ACB0-D5E3631078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CE22-4BEC-ACB0-D5E3631078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CE22-4BEC-ACB0-D5E3631078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CE22-4BEC-ACB0-D5E3631078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CE22-4BEC-ACB0-D5E3631078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CE22-4BEC-ACB0-D5E3631078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CE22-4BEC-ACB0-D5E3631078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CE22-4BEC-ACB0-D5E3631078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CE22-4BEC-ACB0-D5E3631078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CE22-4BEC-ACB0-D5E3631078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CE22-4BEC-ACB0-D5E3631078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CE22-4BEC-ACB0-D5E3631078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CE22-4BEC-ACB0-D5E3631078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CE22-4BEC-ACB0-D5E3631078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CE22-4BEC-ACB0-D5E3631078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CE22-4BEC-ACB0-D5E3631078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CE22-4BEC-ACB0-D5E3631078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CE22-4BEC-ACB0-D5E3631078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CE22-4BEC-ACB0-D5E3631078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CE22-4BEC-ACB0-D5E3631078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CE22-4BEC-ACB0-D5E3631078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CE22-4BEC-ACB0-D5E3631078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CE22-4BEC-ACB0-D5E3631078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CE22-4BEC-ACB0-D5E3631078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CE22-4BEC-ACB0-D5E3631078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CE22-4BEC-ACB0-D5E3631078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CE22-4BEC-ACB0-D5E3631078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CE22-4BEC-ACB0-D5E3631078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CE22-4BEC-ACB0-D5E3631078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CE22-4BEC-ACB0-D5E3631078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CE22-4BEC-ACB0-D5E3631078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CE22-4BEC-ACB0-D5E3631078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CE22-4BEC-ACB0-D5E3631078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CE22-4BEC-ACB0-D5E3631078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CE22-4BEC-ACB0-D5E3631078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CE22-4BEC-ACB0-D5E3631078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CE22-4BEC-ACB0-D5E3631078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CE22-4BEC-ACB0-D5E3631078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CE22-4BEC-ACB0-D5E3631078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CE22-4BEC-ACB0-D5E3631078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CE22-4BEC-ACB0-D5E3631078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CE22-4BEC-ACB0-D5E3631078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CE22-4BEC-ACB0-D5E3631078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CE22-4BEC-ACB0-D5E3631078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CE22-4BEC-ACB0-D5E3631078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CE22-4BEC-ACB0-D5E3631078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CE22-4BEC-ACB0-D5E3631078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CE22-4BEC-ACB0-D5E3631078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CE22-4BEC-ACB0-D5E3631078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CE22-4BEC-ACB0-D5E3631078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CE22-4BEC-ACB0-D5E3631078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CE22-4BEC-ACB0-D5E3631078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CE22-4BEC-ACB0-D5E3631078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CE22-4BEC-ACB0-D5E3631078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CE22-4BEC-ACB0-D5E3631078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CE22-4BEC-ACB0-D5E3631078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CE22-4BEC-ACB0-D5E3631078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CE22-4BEC-ACB0-D5E3631078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C9-444D-BEA7-14B48741954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C9-444D-BEA7-14B48741954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C9-444D-BEA7-14B48741954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C9-444D-BEA7-14B48741954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C9-444D-BEA7-14B487419541}"/>
                </c:ext>
              </c:extLst>
            </c:dLbl>
            <c:spPr>
              <a:gradFill>
                <a:gsLst>
                  <a:gs pos="0">
                    <a:srgbClr val="4F81BD">
                      <a:lumMod val="5000"/>
                      <a:lumOff val="95000"/>
                      <a:alpha val="30000"/>
                    </a:srgbClr>
                  </a:gs>
                  <a:gs pos="97000">
                    <a:srgbClr val="00B0F0"/>
                  </a:gs>
                  <a:gs pos="50000">
                    <a:srgbClr val="ECF1F8"/>
                  </a:gs>
                </a:gsLst>
                <a:lin ang="5400000" scaled="1"/>
              </a:gradFill>
              <a:ln w="6350">
                <a:solidFill>
                  <a:srgbClr val="00B0F0"/>
                </a:solidFill>
              </a:ln>
              <a:effectLst/>
            </c:spPr>
            <c:txPr>
              <a:bodyPr rot="0" vertOverflow="overflow" horzOverflow="overflow" vert="horz" wrap="square" lIns="36000" tIns="36000" rIns="36000" bIns="36000" anchor="ctr" anchorCtr="0">
                <a:spAutoFit/>
              </a:bodyPr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Spots!$B$3:$B$205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6">
                  <c:v>2</c:v>
                </c:pt>
                <c:pt idx="27">
                  <c:v>2</c:v>
                </c:pt>
                <c:pt idx="29">
                  <c:v>-10</c:v>
                </c:pt>
                <c:pt idx="30">
                  <c:v>10</c:v>
                </c:pt>
                <c:pt idx="31">
                  <c:v>10</c:v>
                </c:pt>
                <c:pt idx="32">
                  <c:v>-10</c:v>
                </c:pt>
              </c:numCache>
            </c:numRef>
          </c:xVal>
          <c:yVal>
            <c:numRef>
              <c:f>Spots!$C$3:$C$205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2">
                  <c:v>-1</c:v>
                </c:pt>
                <c:pt idx="13">
                  <c:v>-2</c:v>
                </c:pt>
                <c:pt idx="14">
                  <c:v>-3</c:v>
                </c:pt>
                <c:pt idx="15">
                  <c:v>-4</c:v>
                </c:pt>
                <c:pt idx="16">
                  <c:v>-5</c:v>
                </c:pt>
                <c:pt idx="17">
                  <c:v>-6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6">
                  <c:v>8</c:v>
                </c:pt>
                <c:pt idx="27">
                  <c:v>-8</c:v>
                </c:pt>
                <c:pt idx="29">
                  <c:v>-10</c:v>
                </c:pt>
                <c:pt idx="30">
                  <c:v>-10</c:v>
                </c:pt>
                <c:pt idx="31">
                  <c:v>10</c:v>
                </c:pt>
                <c:pt idx="32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Spots!$A$3:$A$127</c15:f>
                <c15:dlblRangeCache>
                  <c:ptCount val="125"/>
                  <c:pt idx="0">
                    <c:v>Intro</c:v>
                  </c:pt>
                  <c:pt idx="1">
                    <c:v>Features</c:v>
                  </c:pt>
                  <c:pt idx="2">
                    <c:v>Applications</c:v>
                  </c:pt>
                  <c:pt idx="3">
                    <c:v>Benefits</c:v>
                  </c:pt>
                  <c:pt idx="5">
                    <c:v>Feature1</c:v>
                  </c:pt>
                  <c:pt idx="6">
                    <c:v>Feature2</c:v>
                  </c:pt>
                  <c:pt idx="7">
                    <c:v>Feature3</c:v>
                  </c:pt>
                  <c:pt idx="8">
                    <c:v>Feature4</c:v>
                  </c:pt>
                  <c:pt idx="9">
                    <c:v>Feature5</c:v>
                  </c:pt>
                  <c:pt idx="10">
                    <c:v>Feature6</c:v>
                  </c:pt>
                  <c:pt idx="12">
                    <c:v>Application1</c:v>
                  </c:pt>
                  <c:pt idx="13">
                    <c:v>Application2</c:v>
                  </c:pt>
                  <c:pt idx="14">
                    <c:v>Application3</c:v>
                  </c:pt>
                  <c:pt idx="15">
                    <c:v>Application4</c:v>
                  </c:pt>
                  <c:pt idx="16">
                    <c:v>Application5</c:v>
                  </c:pt>
                  <c:pt idx="17">
                    <c:v>Application6</c:v>
                  </c:pt>
                  <c:pt idx="19">
                    <c:v>Benefit1</c:v>
                  </c:pt>
                  <c:pt idx="20">
                    <c:v>Benefit2</c:v>
                  </c:pt>
                  <c:pt idx="21">
                    <c:v>Benefit3</c:v>
                  </c:pt>
                  <c:pt idx="22">
                    <c:v>Benefit4</c:v>
                  </c:pt>
                  <c:pt idx="23">
                    <c:v>Benefit5</c:v>
                  </c:pt>
                  <c:pt idx="24">
                    <c:v>Benefit6</c:v>
                  </c:pt>
                  <c:pt idx="26">
                    <c:v>Teleport1</c:v>
                  </c:pt>
                  <c:pt idx="27">
                    <c:v>Teleport2</c:v>
                  </c:pt>
                  <c:pt idx="29">
                    <c:v>Blank_1</c:v>
                  </c:pt>
                  <c:pt idx="30">
                    <c:v>Blank_2</c:v>
                  </c:pt>
                  <c:pt idx="31">
                    <c:v>Blank_3</c:v>
                  </c:pt>
                  <c:pt idx="32">
                    <c:v>Blank_4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281-CE22-4BEC-ACB0-D5E36310785A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99414528"/>
        <c:axId val="199416448"/>
      </c:scatterChart>
      <c:valAx>
        <c:axId val="199414528"/>
        <c:scaling>
          <c:orientation val="minMax"/>
          <c:max val="10"/>
          <c:min val="-1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199416448"/>
        <c:crossesAt val="0"/>
        <c:crossBetween val="midCat"/>
        <c:majorUnit val="10"/>
      </c:valAx>
      <c:valAx>
        <c:axId val="199416448"/>
        <c:scaling>
          <c:orientation val="minMax"/>
          <c:max val="10"/>
          <c:min val="-1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99414528"/>
        <c:crosses val="autoZero"/>
        <c:crossBetween val="midCat"/>
        <c:majorUnit val="10"/>
      </c:valAx>
      <c:spPr>
        <a:noFill/>
        <a:ln w="25400">
          <a:solidFill>
            <a:srgbClr val="61D6FF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Grid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251572327044023E-2"/>
          <c:y val="5.6903988348981763E-2"/>
          <c:w val="0.90241280731846774"/>
          <c:h val="0.89848468587552532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1630B4-CC63-4098-9DC6-C249CFFD42A5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28A-940E-41A3-9BD0-604611080B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A85CD7-4072-4EDE-A5A3-73F7D9715A0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940E-41A3-9BD0-604611080B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188624-8B1B-47A0-A76E-608014843F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940E-41A3-9BD0-604611080B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F1DD1A-9FD0-4C76-B904-44B0EFD6EE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940E-41A3-9BD0-604611080B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AAA6FC-1278-4A6D-9569-0A5C1B0C80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940E-41A3-9BD0-604611080B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783307-D37D-4C62-8FF7-332A96DBD5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940E-41A3-9BD0-604611080B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68B6E3-1C61-42D9-B156-DB7DE96D464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940E-41A3-9BD0-604611080B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87B895-0ACE-4F8F-9FF5-E1E6CCB0339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940E-41A3-9BD0-604611080B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000730-767A-43C0-9C77-6B92319411A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940E-41A3-9BD0-604611080B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D04DA4-1DC6-46AB-B17E-15512FC21D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940E-41A3-9BD0-604611080B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5109D9-B41B-4D9C-9FAB-E4FC660395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940E-41A3-9BD0-604611080B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D54806-CC7B-4A79-BD25-9123BD2FB4C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940E-41A3-9BD0-604611080B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A92E44-B6D3-4344-80A7-100A7A329A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940E-41A3-9BD0-604611080B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30DC67-2C09-4F08-A929-A1FE2BE806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940E-41A3-9BD0-604611080B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CA16BC-57DC-4305-9E78-FC06FED0EF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940E-41A3-9BD0-604611080B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A00394-28C5-4AC1-A676-59FB81D0E2A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940E-41A3-9BD0-604611080B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571FC6-FF07-4833-AA8A-F810FDA3E0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940E-41A3-9BD0-604611080B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9E6C9A-87DC-4392-A43D-73968166B4B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940E-41A3-9BD0-604611080B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28963C6-B2FC-4E5D-AE04-44928EB3B8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940E-41A3-9BD0-604611080B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1DB586-7E10-48EA-9366-D2E5EE31BA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940E-41A3-9BD0-604611080B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59648E-F5D6-47A3-AC34-3A2BEB23E6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940E-41A3-9BD0-604611080B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0393A1-203F-4A8D-9297-2707DB1D56E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940E-41A3-9BD0-604611080B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F88B3E-0F66-4D23-9301-61F082F248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940E-41A3-9BD0-604611080B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FF0C2D-16E1-4EAE-AA4D-AF99EABEDDF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940E-41A3-9BD0-604611080B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1132FD-5033-4B76-BD7E-F8ECF47C944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940E-41A3-9BD0-604611080B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AA14AEE-F194-47A7-9C12-77CEBA0904E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940E-41A3-9BD0-604611080B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D1BD4F5-B035-4F03-B7FF-87B164A8914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940E-41A3-9BD0-604611080B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0ACAED-63D8-4BF6-BA23-E3FD225684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940E-41A3-9BD0-604611080B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0982DB-16CA-47A7-8863-0165481D67C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940E-41A3-9BD0-604611080B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18435A-58B5-42A1-BB40-EC6D33974A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940E-41A3-9BD0-604611080B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0AAF5D2-18AC-43FA-AD09-91685C96FD7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940E-41A3-9BD0-604611080B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0AF540-606D-4882-84FF-F2852F2D12E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940E-41A3-9BD0-604611080B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1839D03-C329-4D83-81B4-6FD0770D5F9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940E-41A3-9BD0-604611080B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9BD5F3-18EA-49A6-93AE-69CFA27E2B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940E-41A3-9BD0-604611080B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322804-652F-4E60-84D4-39F38A64F2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940E-41A3-9BD0-604611080B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51A950-195C-4B0A-A794-6CCC2735FE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940E-41A3-9BD0-604611080B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1C70E8-0F54-447C-9957-3F1957F1CF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940E-41A3-9BD0-604611080B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F17CDE-8BA5-4DE4-AC68-9C39FDD256C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940E-41A3-9BD0-604611080B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9F6F95-1426-408C-A81F-43096D75FD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940E-41A3-9BD0-604611080B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26924D-19CE-417F-A2B7-8FEF35BEBE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940E-41A3-9BD0-604611080B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A06807-9D56-4C83-9E4D-BE3FDCD9C2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940E-41A3-9BD0-604611080B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470A3C6-354C-487F-BCCC-AAFB5672DC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940E-41A3-9BD0-604611080B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9C240A-7770-45AC-8DD0-1FB5A25BA7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940E-41A3-9BD0-604611080B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9E14FA-DA94-48A5-ADA5-30D27B003D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940E-41A3-9BD0-604611080B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68965B-5606-43FE-B863-25BC01CB78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940E-41A3-9BD0-604611080B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D168B0-017E-4454-BB8A-3865A242401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940E-41A3-9BD0-604611080B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13B189-F400-49DA-8274-01D60E4E389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940E-41A3-9BD0-604611080B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45CA38-B51E-4A1D-8903-E5C3A1FC70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940E-41A3-9BD0-604611080B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45EFB2-8343-4A94-8686-84D842ED03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940E-41A3-9BD0-604611080B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3F5255-F519-4674-8287-AFC5B07E5D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940E-41A3-9BD0-604611080B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A18AFE9-3DE4-495C-A128-C7EEA7FE89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940E-41A3-9BD0-604611080B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C2034B-FAFC-4444-B085-6EC6E2BF258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940E-41A3-9BD0-604611080B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F87799-01BC-4919-B5D3-DF8A2238E0C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940E-41A3-9BD0-604611080B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546A3B-6417-404A-81D6-32C4ECD282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940E-41A3-9BD0-604611080B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C17592-636F-4E21-A473-C01B1DD9753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940E-41A3-9BD0-604611080B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B5ACA40-AEDD-4788-BAB1-56633B9E8AB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940E-41A3-9BD0-604611080B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8F9ED4B-4AFF-4636-AEFA-E99AB62279F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940E-41A3-9BD0-604611080B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6051BA-60B6-414D-9C0D-C74141C68F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940E-41A3-9BD0-604611080B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5D2F74-C90E-4C0A-BF10-4C1AA6F62A2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940E-41A3-9BD0-604611080B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E143D3-87EE-4C73-8AE7-A83D9C9BA78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940E-41A3-9BD0-604611080B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9D9F70A-60FC-4360-B4B0-D9F7439C27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940E-41A3-9BD0-604611080B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D7ED54-9052-4782-9A5C-44DF5195734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940E-41A3-9BD0-604611080B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DA54CB-94EB-4DDB-8AC8-7ACB11449C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940E-41A3-9BD0-604611080B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62042F-1429-460B-B586-E958A1DAE3E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940E-41A3-9BD0-604611080B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14A7C1-441A-4FF2-B444-0D708B87A87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940E-41A3-9BD0-604611080B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32C05D-E461-473A-90A4-99D787006D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940E-41A3-9BD0-604611080B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FB58298-E234-4D13-80A2-49AA10C5607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940E-41A3-9BD0-604611080B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8E6B07-C459-4CAD-80BE-9FA16D2236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940E-41A3-9BD0-604611080B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CB3660-E74E-42C0-90E0-E8679058087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940E-41A3-9BD0-604611080B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04CC99-C3BF-46D0-896E-5B63013E786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940E-41A3-9BD0-604611080B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C4770E-5A9B-4ABD-B986-053CBF02EA0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940E-41A3-9BD0-604611080B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E748DC9-0AE1-48C0-936C-00CEB810CF7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940E-41A3-9BD0-604611080B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674EFE-F3F8-459B-A0DB-11903A1844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940E-41A3-9BD0-604611080B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8FC3CE-CE1F-454B-8758-09073E7D060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940E-41A3-9BD0-604611080B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34A8EE-125D-45A6-8977-05113219C8F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940E-41A3-9BD0-604611080B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D098307-0592-480C-A095-788B751AEB2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940E-41A3-9BD0-604611080B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D36BB7-69E1-4E0F-BE7C-0FAFEA8A0D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940E-41A3-9BD0-604611080B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7B18AFC-BF65-42E9-B6BC-059AC3E50A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940E-41A3-9BD0-604611080B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3D6601-66E5-4EBC-B4D6-0A9D930C9B4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940E-41A3-9BD0-604611080B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2C4B29-01FD-4716-81F3-3B7A8BCDDC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940E-41A3-9BD0-604611080B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024628-083F-49B5-9E4D-50715CDD11F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940E-41A3-9BD0-604611080B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B42A30-9098-4B39-A788-0429831E1D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940E-41A3-9BD0-604611080B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F9B7F4-3A79-4DF5-8A28-705E8E3993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940E-41A3-9BD0-604611080B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664006-4B99-4385-9FD0-A160AE226C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940E-41A3-9BD0-604611080B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1FE98EC-0337-4A1D-B24F-1A57F8F35AD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940E-41A3-9BD0-604611080B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24FAA4-3799-4785-A14B-DB9F8EFFBD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F-940E-41A3-9BD0-604611080B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EE4356-FE07-4E68-AD94-D407B6317B2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0-940E-41A3-9BD0-604611080B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0FA49B-EA89-4038-8E02-049C4FCB820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1-940E-41A3-9BD0-604611080B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841CA7-D0E7-4713-AFC7-4CF2C8CF60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2-940E-41A3-9BD0-604611080B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BFDFAF3-38F1-4A11-A6A2-349C0DD3E37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3-940E-41A3-9BD0-604611080B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43D7D76-16EE-48B5-8A94-0F072AB80B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4-940E-41A3-9BD0-604611080B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D127419-016C-44A1-B7F6-57AE1AD27F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5-940E-41A3-9BD0-604611080B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9F33251-6FE0-4F4E-85A5-C5C4DAA864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6-940E-41A3-9BD0-604611080B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6F7B7C-A1CF-440F-BD35-A2F9A6C91AF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7-940E-41A3-9BD0-604611080B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891661-E27C-4B84-B91B-649F4CD8158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8-940E-41A3-9BD0-604611080B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FB6E9F-BDBF-4A6C-B2E2-8AF75BC6096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9-940E-41A3-9BD0-604611080B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2D3ACE-41A2-4374-86E0-E5AA62F9A7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A-940E-41A3-9BD0-604611080B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D0DAFE-28D3-4204-BEB5-1C593A70EF6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B-940E-41A3-9BD0-604611080B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1571A0-E9C6-4C0C-AF47-A133C8F70B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C-940E-41A3-9BD0-604611080B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ABF0E71-D5D3-46D4-A3AB-4580B352A77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D-940E-41A3-9BD0-604611080B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2ED79B-FA0A-44D7-A2B6-401394D427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E-940E-41A3-9BD0-604611080B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25186A4-4683-43F9-B68A-2029E002C2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F-940E-41A3-9BD0-604611080B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5A29990-BBAC-40AD-A888-2591118713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0-940E-41A3-9BD0-604611080B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1069A9-1378-46C1-B8C1-3D6DAC72A04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1-940E-41A3-9BD0-604611080B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090F34-E14D-405F-B197-87CF7954F7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2-940E-41A3-9BD0-604611080B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AB9D7FD-B181-4910-B053-4C930CAE9E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3-940E-41A3-9BD0-604611080B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418DD28-D7E6-4087-A2C7-492F26F23C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4-940E-41A3-9BD0-604611080B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B197720-D3C7-417A-B165-9F79FC0546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5-940E-41A3-9BD0-604611080B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BB0CEC-A19B-47B2-AB7B-7745898574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6-940E-41A3-9BD0-604611080B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15B74FC-8D63-4402-BE6F-993DBB2C4A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7-940E-41A3-9BD0-604611080B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883A7F-59DA-4D3A-B0F0-6E620496D27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8-940E-41A3-9BD0-604611080B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1C7FF5-75C3-429F-B2DC-54C59E6779A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9-940E-41A3-9BD0-604611080B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E6B3F1-7664-4C14-805F-6A57E3BD040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A-940E-41A3-9BD0-604611080B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20E300-8BEB-4F5A-A460-985A2CF41F9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B-940E-41A3-9BD0-604611080B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D49215-2CDC-485E-8F4E-6B9931C2FF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C-940E-41A3-9BD0-604611080B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85C47C-75D4-4D3F-80EB-5BC0D1CF60D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D-940E-41A3-9BD0-604611080B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CFBC402-5F0D-42E5-B160-41B2118211F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E-940E-41A3-9BD0-604611080B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06DA8B4-7D57-4D95-BD60-FEA36DCF6D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F-940E-41A3-9BD0-604611080B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6318E8-ED9B-43E8-8CE6-6F228C48D7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0-940E-41A3-9BD0-604611080B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74DD194-9DD7-4D22-9D53-01D05B68A02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1-940E-41A3-9BD0-604611080B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0765C5-E40B-4007-8D1B-D1B99C2F03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2-940E-41A3-9BD0-604611080B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36DE251-539A-49EB-8906-0EDE3F784B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3-940E-41A3-9BD0-604611080B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1ED552-D6C8-47EC-9CA5-5C52D204A8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4-940E-41A3-9BD0-604611080B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8F8E1D-7C72-4748-86C4-512ECC9EFF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5-940E-41A3-9BD0-604611080B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3D35C5-FF9D-4F79-8296-AA888E199E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6-940E-41A3-9BD0-604611080B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CAEA45-6E55-42B7-A21F-E98C3D4C6B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7-940E-41A3-9BD0-604611080B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8963D91-273A-48E6-9322-97C33781E6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8-940E-41A3-9BD0-604611080B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F77295-23BD-48A5-BA2A-C2C272AAF41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9-940E-41A3-9BD0-604611080B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80C788-738E-4888-B6E0-9B88872BD82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A-940E-41A3-9BD0-604611080B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C3F795-78CF-46A7-8B2B-D3036AB791D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B-940E-41A3-9BD0-604611080B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FF4EB53-271E-4580-84DB-E19056006A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C-940E-41A3-9BD0-604611080B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FBACDA-D377-49DD-80AB-B58E33E4C6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D-940E-41A3-9BD0-604611080B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C51D018-05C8-4BF8-85BC-B8DBB8A8369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E-940E-41A3-9BD0-604611080B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8A9759-4C52-4D85-879D-4C5C3BDADB9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F-940E-41A3-9BD0-604611080B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F72B59-413A-41DF-B3BD-BFE9829FDA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0-940E-41A3-9BD0-604611080B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AA1132F-0A9B-453C-8BF3-B257B17CC1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1-940E-41A3-9BD0-604611080B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AA8FB30-77B1-4A04-9EBD-8E9481EE9D9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2-940E-41A3-9BD0-604611080B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6BB4E6-09AD-497A-BEDC-105DE59F33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3-940E-41A3-9BD0-604611080B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B69CF3-2A48-419C-9D10-6CF0F0E4DC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4-940E-41A3-9BD0-604611080B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DC25C7-7B1F-4F4B-8DBE-30E640C8C2F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5-940E-41A3-9BD0-604611080B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0DC08A-665C-4D64-853C-B564A34DE25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6-940E-41A3-9BD0-604611080B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AB08F4-E69F-4C17-9AEF-E63196BDD4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7-940E-41A3-9BD0-604611080B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2DF6FD-DAED-432F-87F1-634B5E899AB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8-940E-41A3-9BD0-604611080B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1A8C8C5-9412-459B-9749-C94F9D4FC59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9-940E-41A3-9BD0-604611080B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6E35DE-F724-4425-A9A8-046399A2A9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A-940E-41A3-9BD0-604611080B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DB2F24F-57AC-4CF6-9245-9B1619C2330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B-940E-41A3-9BD0-604611080B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20DD86C-A8A1-43BA-B89D-150207BABA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C-940E-41A3-9BD0-604611080B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C339756-2E37-4A98-A645-41C8A88028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D-940E-41A3-9BD0-604611080B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CE8730-B51D-4007-8370-B0EDC603FC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E-940E-41A3-9BD0-604611080B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107244-85FB-4B2B-98E9-862A323CF4F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F-940E-41A3-9BD0-604611080B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70338C-AE92-4E09-AEE3-B21433D833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0-940E-41A3-9BD0-604611080B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4809E7-D94B-4E32-9302-AC3B19872FE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1-940E-41A3-9BD0-604611080B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6B6133-08CA-4959-A49E-9F2399F938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2-940E-41A3-9BD0-604611080B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64BFB8-2BC0-4D64-AF6A-A2F234EF1EB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3-940E-41A3-9BD0-604611080B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92D2B9-E6FA-4D48-AA9E-8AF0ECB370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4-940E-41A3-9BD0-604611080B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B2E1F2-834E-433F-B898-169BF3471F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5-940E-41A3-9BD0-604611080B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B458D56-FA6E-49BA-8084-3A92E658C6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6-940E-41A3-9BD0-604611080B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959C24-9A77-44C6-A6B7-82A4CF4407F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7-940E-41A3-9BD0-604611080B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0CFC8F-9DDD-4514-A82D-3AEF9A7332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8-940E-41A3-9BD0-604611080B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6E3F3E4-CC76-4893-926A-4FCC499FC0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9-940E-41A3-9BD0-604611080B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28A48A-1704-471B-B3D4-37B27A9AC6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A-940E-41A3-9BD0-604611080B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5616E90-2E16-4B84-A78A-019765FBBA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B-940E-41A3-9BD0-604611080B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3021E6-23A6-40BA-BC3D-50FC512F08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C-940E-41A3-9BD0-604611080B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8A30CE-A28F-42D2-9BF5-1A82857846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D-940E-41A3-9BD0-604611080B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BAA091C-ACC0-4C9D-853C-F5774BD89C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E-940E-41A3-9BD0-604611080B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782541-7B61-4DD4-9B97-BF6D0EE8ED4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F-940E-41A3-9BD0-604611080B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A239752-C994-4C37-A702-9CDA9008C1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0-940E-41A3-9BD0-604611080B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AADDC1-43F4-4B94-A225-DCBA8ECB109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1-940E-41A3-9BD0-604611080B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F5FD769-6711-4537-9CAF-82456AEB53C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2-940E-41A3-9BD0-604611080B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D1ED8A-4B86-4754-A635-16F38BF1D9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3-940E-41A3-9BD0-604611080B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3AEEDE-4B42-4206-8E9E-CAD633C878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4-940E-41A3-9BD0-604611080B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E37157-A840-404E-AC79-325E4BDFAF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5-940E-41A3-9BD0-604611080B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333B332-015A-47F2-BC18-0CA6D16CE49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6-940E-41A3-9BD0-604611080B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EC9605D-1A6E-4DEB-94D0-034FDCEF43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7-940E-41A3-9BD0-604611080B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2D8D39-59CF-440E-876C-01BD65E9A77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8-940E-41A3-9BD0-604611080B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E3C833-85E7-46DB-BF6B-E862B110335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9-940E-41A3-9BD0-604611080B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5530BF3-CBE0-433E-B0A9-75F99AD8ABC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A-940E-41A3-9BD0-604611080B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ED26EAD-B274-4CBC-9EFF-5C8831BF459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B-940E-41A3-9BD0-604611080B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7DD16D1-AD22-4F65-8C57-39CEC44428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C-940E-41A3-9BD0-604611080B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A081E4-FF07-4C71-AB19-07B90C6A486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D-940E-41A3-9BD0-604611080B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3D7073-2D14-49C5-B08F-3A7525A41D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E-940E-41A3-9BD0-604611080B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ACD5F7A-952E-4467-936D-5F5F011F29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F-940E-41A3-9BD0-604611080B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101D0D1-4307-495B-A205-53218CC519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0-940E-41A3-9BD0-604611080B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4A4EEB7-E11E-40D1-9C3D-EA1CE1B8459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1-940E-41A3-9BD0-604611080B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BDA6B0-ABF3-4ABA-9F00-0E03D7D9B80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2-940E-41A3-9BD0-604611080B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6FA4E30-9ABD-4099-B789-0FDB5044D9D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3-940E-41A3-9BD0-604611080B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210B46C-4A52-4648-BDD5-1A7CBE7F21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4-940E-41A3-9BD0-604611080B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17546C-8766-4FEB-91CE-8F645408181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5-940E-41A3-9BD0-604611080B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709B8C-577E-45BA-A81A-58CC892E30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6-940E-41A3-9BD0-604611080B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D651FA-2F50-4EB3-B3F5-B726784FD8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7-940E-41A3-9BD0-604611080B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50097D-307F-4D71-B6C1-2A83F2069E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8-940E-41A3-9BD0-604611080B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D708EA-2266-49B6-B027-C6F3DF462C5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9-940E-41A3-9BD0-604611080B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281DA5-1F5C-4CB2-9A34-CA96D33E3FC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A-940E-41A3-9BD0-604611080B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9B4220-CD3F-4A89-AC49-BB8235BA4A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B-940E-41A3-9BD0-604611080B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611D2C7-8EEC-43EA-B62C-107556E215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C-940E-41A3-9BD0-604611080B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99F35B-3454-4D68-88E1-E85305898A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D-940E-41A3-9BD0-604611080B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AC1B60-8347-4C4F-808A-2E6CF195DF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E-940E-41A3-9BD0-604611080B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FA0192-7EBF-472C-B1C9-1DDE210DC9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F-940E-41A3-9BD0-604611080B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5EEEA2-B84E-4B2A-8765-B1BCF04E02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0-940E-41A3-9BD0-604611080B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66BEB9-EC90-4773-AA59-A1447DC4E9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1-940E-41A3-9BD0-604611080B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40F2EB-FD39-4316-90FC-A9FBA43177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2-940E-41A3-9BD0-604611080B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D170C1-FE1E-4D2E-82C4-BBB7CCFEC7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3-940E-41A3-9BD0-604611080B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1421704-0546-485D-9691-269641CE651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4-940E-41A3-9BD0-604611080B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02BE27B-A03B-42EF-96E6-BD94FECFE95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5-940E-41A3-9BD0-604611080B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F0E467-8523-4C79-9685-3C14136610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6-940E-41A3-9BD0-604611080B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E077B5-E447-4E37-849E-7166E25789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7-940E-41A3-9BD0-604611080B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35C3A3-2C2D-468C-9E6D-82AE7739337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8-940E-41A3-9BD0-604611080B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14B3B8-CAC8-43AC-987F-64630295D0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9-940E-41A3-9BD0-604611080B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60FEF4-C399-4537-9F36-721E0564BB1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A-940E-41A3-9BD0-604611080B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0EF8EF-7952-4DFD-8D15-B96C796DF47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B-940E-41A3-9BD0-604611080B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D3C594-3806-4465-AB99-4D0EC744E1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C-940E-41A3-9BD0-604611080B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41D3EBD-3CF3-4563-B2CC-068FD68EE5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D-940E-41A3-9BD0-604611080B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EE7869B-1D4D-49C1-B7FD-8B0302E545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E-940E-41A3-9BD0-604611080B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067D1C-BE2B-4256-A67E-A805CC23D8C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F-940E-41A3-9BD0-604611080B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B5B995-EECB-44A2-8141-93E9C3EE05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0-940E-41A3-9BD0-604611080B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06EB6A5-99C1-44D8-BF59-934C8B4B954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1-940E-41A3-9BD0-604611080B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23E32D8-C014-4CF1-B156-F1C05AC569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2-940E-41A3-9BD0-604611080B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30F844-E4C8-44EB-90DE-084A7925107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3-940E-41A3-9BD0-604611080B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BDED044-D7C9-47F2-97A9-4B720DC65A9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4-940E-41A3-9BD0-604611080B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2FDD948-2BBC-479B-8104-60264D5F58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5-940E-41A3-9BD0-604611080B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82C1B7-E092-4BFE-B831-CA71B2E95F2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6-940E-41A3-9BD0-604611080B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31106B-6B32-479A-A338-A18F5E3E20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7-940E-41A3-9BD0-604611080B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2D16B0-9094-4515-AF9F-F30A083900D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8-940E-41A3-9BD0-604611080B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4D844E-81EA-4039-99F2-19D4646F9A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9-940E-41A3-9BD0-604611080B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8ACF5FC-091B-4794-B7AE-0ED9236D86B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A-940E-41A3-9BD0-604611080B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5B087B-9C0E-406B-A3A1-0E848242C9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B-940E-41A3-9BD0-604611080B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fld id="{AAC258BA-A4B5-4354-B1F2-57B7BC76E3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C-940E-41A3-9BD0-604611080B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fld id="{4D7006CF-6587-450B-A076-1DA53C99894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D-940E-41A3-9BD0-604611080B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fld id="{B3239D3C-3D50-4832-9843-7E4FD0B108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E-940E-41A3-9BD0-604611080B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fld id="{40B9C2BA-95A5-49DF-94EA-B9E6DA9925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F-940E-41A3-9BD0-604611080B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fld id="{DE5414D2-AD80-4B13-B119-376270C4B6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0-940E-41A3-9BD0-604611080B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fld id="{29C86198-2CC0-4F00-AEA4-514A05400E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1-940E-41A3-9BD0-604611080B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fld id="{D9480F7F-31C0-48C0-B0AC-8FF51BC1FE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2-940E-41A3-9BD0-604611080B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fld id="{9C243C48-2D3E-4F4D-A1DF-0A9D2D1F719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3-940E-41A3-9BD0-604611080B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fld id="{36EA403A-29F9-4944-AE8E-11082F9EE2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4-940E-41A3-9BD0-604611080B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fld id="{298AE025-2613-4D98-8B05-E1FD74DB67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5-940E-41A3-9BD0-604611080B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fld id="{AAA96557-133D-42AE-95F4-4A0A893AB06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6-940E-41A3-9BD0-604611080B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fld id="{8C9B3100-EC36-4E22-A19C-2B87973729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7-940E-41A3-9BD0-604611080B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fld id="{3BB87A37-B71D-42DC-8B11-AC106B5649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8-940E-41A3-9BD0-604611080B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fld id="{DC749E88-01A6-4C45-854B-18E3BB61843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9-940E-41A3-9BD0-604611080B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fld id="{B266350A-0A93-434D-BB5E-8E5652CC74D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A-940E-41A3-9BD0-604611080B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fld id="{07B68C9B-3E19-4EAE-8F58-542E2B10366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B-940E-41A3-9BD0-604611080B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fld id="{C4D4FB61-BD56-4FEF-9DF0-DEFAFDC5350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C-940E-41A3-9BD0-604611080B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fld id="{346B98C6-1CFA-4507-9814-3D227B5B97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D-940E-41A3-9BD0-604611080B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fld id="{D7CCC9EE-4B03-4D8E-A465-20A69C40B9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E-940E-41A3-9BD0-604611080B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fld id="{B3C77BF9-833D-4304-B42F-FB0416245AC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F-940E-41A3-9BD0-604611080B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fld id="{6DA3B61E-A5EE-4350-8BB1-B1375503E1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0-940E-41A3-9BD0-604611080B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fld id="{80F57ACC-DECD-4264-9E74-82D691B9C6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1-940E-41A3-9BD0-604611080B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fld id="{11CE9C51-2570-400C-8233-35F6CAA32C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2-940E-41A3-9BD0-604611080B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fld id="{2ED784EB-08B7-4989-9FAE-0959528414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3-940E-41A3-9BD0-604611080B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fld id="{39CD4E41-64B2-4189-8FA9-1293AA8EFA8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4-940E-41A3-9BD0-604611080B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fld id="{3AA2C323-D19D-4421-96CB-1C33B49CD3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5-940E-41A3-9BD0-604611080B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fld id="{8DD1278B-9FFB-418D-A0B8-2FE338B38D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6-940E-41A3-9BD0-604611080B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fld id="{2A794D30-D4D6-4074-8E87-7BEF4339E5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7-940E-41A3-9BD0-604611080B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fld id="{BA5B1B58-44A9-49CC-8C61-AB1957FDE5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8-940E-41A3-9BD0-604611080B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fld id="{06BC8A6E-64F0-4214-9AA9-915FEC26469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9-940E-41A3-9BD0-604611080B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fld id="{8D12081D-F98C-4565-BA8E-8D8FEC658BB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A-940E-41A3-9BD0-604611080B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fld id="{3560D3C3-2C3E-46F8-AE8B-2B662A4D87B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B-940E-41A3-9BD0-604611080B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fld id="{B5E05396-56BC-4D4D-B3B0-8EDA48633F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C-940E-41A3-9BD0-604611080B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fld id="{C3C59CFC-9BE4-458F-B090-BF3E3ED867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D-940E-41A3-9BD0-604611080B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fld id="{2E040CD0-6A7E-4AA5-8136-9278A78F78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E-940E-41A3-9BD0-604611080B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fld id="{C96A8660-6610-48DF-9829-60635B0DC0B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F-940E-41A3-9BD0-604611080B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fld id="{E7943970-2C5E-4FF3-A5EF-3B05EB392E7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0-940E-41A3-9BD0-604611080B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fld id="{64A86ACB-49B5-4385-8FDE-F1641551D8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1-940E-41A3-9BD0-604611080B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fld id="{DCD31F22-5A4B-497D-8436-B7BDED956D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2-940E-41A3-9BD0-604611080B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fld id="{F73BB709-C7D7-4752-8217-F8F094DCB4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3-940E-41A3-9BD0-604611080B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fld id="{340BA686-66D0-4FFF-8E62-FA82DB938D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4-940E-41A3-9BD0-604611080B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fld id="{6555C5CB-BD2C-4F80-8C75-39A0D1B60DD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5-940E-41A3-9BD0-604611080B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fld id="{0A43CC2C-39B2-464D-AC69-AF12687277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6-940E-41A3-9BD0-604611080B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fld id="{FEB95857-B968-43D8-B676-5A4F817452E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7-940E-41A3-9BD0-604611080B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fld id="{7FB89D12-3F4E-48DB-87D1-6E9FFC16DE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8-940E-41A3-9BD0-604611080B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fld id="{19BEC6C3-33A4-4827-B290-EB91C1619E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9-940E-41A3-9BD0-604611080B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fld id="{55C7EE3F-B5CE-46BF-BB61-DB3379BF6C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A-940E-41A3-9BD0-604611080B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fld id="{342A98A4-E78C-43D3-8BFB-C721291D9A7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B-940E-41A3-9BD0-604611080B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fld id="{5299917D-5B0B-4AAC-9FA5-5F074DFE01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C-940E-41A3-9BD0-604611080B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fld id="{CE8BD519-0564-4043-B296-DD325B2464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D-940E-41A3-9BD0-604611080B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fld id="{71FA1A98-5F8D-474A-8039-CA5A75962B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E-940E-41A3-9BD0-604611080B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fld id="{6A6B040B-46C7-4250-9E62-FB4FAF7CB5D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F-940E-41A3-9BD0-604611080B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fld id="{2C9DE2E4-80C7-4AC1-B6F8-D35142CF690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0-940E-41A3-9BD0-604611080B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fld id="{C0720F1E-1B08-40C6-B40B-52F379CC25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1-940E-41A3-9BD0-604611080B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fld id="{69D680C2-843A-4A22-BD91-9A0F95CC006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2-940E-41A3-9BD0-604611080B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fld id="{FAB487E8-1100-418E-A79D-0706BAA44B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3-940E-41A3-9BD0-604611080B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fld id="{75581AD3-E505-4D91-BED9-BD0E082F647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4-940E-41A3-9BD0-604611080B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fld id="{BF0FA393-FA84-4058-9F5B-9C4464C430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5-940E-41A3-9BD0-604611080B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fld id="{025B6DFD-B92E-429C-B7AE-EE6EC75238F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6-940E-41A3-9BD0-604611080B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fld id="{09F300A7-D8B2-4D5B-8D48-46E2D8656A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7-940E-41A3-9BD0-604611080B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fld id="{4ED40D30-CA39-488D-880C-BE4055AA50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8-940E-41A3-9BD0-604611080B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fld id="{A6196B40-9930-45BB-911D-9E1E880EA4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9-940E-41A3-9BD0-604611080B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fld id="{21F9CD23-406E-47AC-8764-72DEBAF372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A-940E-41A3-9BD0-604611080B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fld id="{B142384D-0AA5-417B-8A9A-E05F05E372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B-940E-41A3-9BD0-604611080B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fld id="{C94F9D19-9666-4AF1-91CC-C2C4E7F3811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C-940E-41A3-9BD0-604611080B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fld id="{8F9FD24A-F289-4B73-8587-E00848A8A64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D-940E-41A3-9BD0-604611080B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fld id="{B0A9B179-3D04-4F5B-A36D-BD61A0E9AE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E-940E-41A3-9BD0-604611080B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fld id="{F6C23352-4BBF-4DD5-B24C-45361CF3A44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F-940E-41A3-9BD0-604611080B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fld id="{A2F676AC-5FA5-4EB5-BADD-A9BBE18AC6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0-940E-41A3-9BD0-604611080B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fld id="{F3C1AC7A-CCC2-46F8-BCD9-85E67AF449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1-940E-41A3-9BD0-604611080B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fld id="{66E42D94-7DFB-483C-A659-4458AF6416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2-940E-41A3-9BD0-604611080B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fld id="{4279B371-BEAA-4371-A0B1-8E2201C88D9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3-940E-41A3-9BD0-604611080B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fld id="{05943E80-309A-4DA0-BF30-AA3E0C6E49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4-940E-41A3-9BD0-604611080B4B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fld id="{939497FC-4292-42C6-9054-94FA33CAA2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5-940E-41A3-9BD0-604611080B4B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fld id="{88205DD4-33A4-4F1D-8E65-A84C202E40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6-940E-41A3-9BD0-604611080B4B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fld id="{44D3E26A-0A8D-412B-BFFC-21AE5DBC733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7-940E-41A3-9BD0-604611080B4B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fld id="{71AE452D-7BE1-4733-86E3-5D38D662FC6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8-940E-41A3-9BD0-604611080B4B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fld id="{EB5CDAC0-C671-4F1F-84FA-01086462B42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9-940E-41A3-9BD0-604611080B4B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fld id="{F8D4E795-9190-49EA-AB0E-F75941C629F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A-940E-41A3-9BD0-604611080B4B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fld id="{CAC334B7-F5DB-4831-8C16-7572C5434C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B-940E-41A3-9BD0-604611080B4B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fld id="{9C1B6711-E6AD-4840-80F8-D7A5A0B995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C-940E-41A3-9BD0-604611080B4B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fld id="{9FEF019F-EDCE-4ADB-A1B5-1CF414CC7F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D-940E-41A3-9BD0-604611080B4B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fld id="{E90BBABA-5E25-4E0B-8C32-146184D2DA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E-940E-41A3-9BD0-604611080B4B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fld id="{2A5757C7-F462-4F1B-9978-F64525928A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F-940E-41A3-9BD0-604611080B4B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fld id="{5CBBFE48-6055-4432-BC86-467FFE8D15E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0-940E-41A3-9BD0-604611080B4B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fld id="{FD189AC8-2517-4107-87CE-D6A2F477FA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1-940E-41A3-9BD0-604611080B4B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fld id="{4A0895A0-5207-4D18-B525-E89537F0A4C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2-940E-41A3-9BD0-604611080B4B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fld id="{72010A37-5CAD-43C3-A5FB-182800A1A8F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3-940E-41A3-9BD0-604611080B4B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fld id="{AF826FCE-88A6-4CDB-A621-176CADCA52B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4-940E-41A3-9BD0-604611080B4B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fld id="{8B37F2A9-0FCE-4927-AB6F-FA8D6FB3AB8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5-940E-41A3-9BD0-604611080B4B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fld id="{7752026C-43F0-4501-8683-006107D4FD1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6-940E-41A3-9BD0-604611080B4B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fld id="{EBF4122F-23EE-4E09-AAC6-19CBBD21264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7-940E-41A3-9BD0-604611080B4B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fld id="{3C398173-395A-49BA-B931-7D3F98FF964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8-940E-41A3-9BD0-604611080B4B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fld id="{D6760512-E458-4C20-94AF-9861511BA15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9-940E-41A3-9BD0-604611080B4B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fld id="{DA13BAC4-7709-41D3-9394-0C8B61A96B1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A-940E-41A3-9BD0-604611080B4B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fld id="{C62E7996-2627-4CE1-A0CD-F9ECA49B64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B-940E-41A3-9BD0-604611080B4B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fld id="{2C6E0881-A23F-4A0E-985B-7D191AFDF11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C-940E-41A3-9BD0-604611080B4B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fld id="{7AFFDC19-2683-4433-B574-0A446F65474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D-940E-41A3-9BD0-604611080B4B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fld id="{2EBFA343-9193-41D9-B284-24D830047D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E-940E-41A3-9BD0-604611080B4B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fld id="{B5EB1D81-4EC0-452C-82C8-FB2B100B9A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F-940E-41A3-9BD0-604611080B4B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fld id="{7CE5A8BD-B4CB-4F39-BEEA-E448A7E1BC7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0-940E-41A3-9BD0-604611080B4B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fld id="{B6404386-9503-4A31-AA6C-8F9DFFAD916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1-940E-41A3-9BD0-604611080B4B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fld id="{239C049A-C50D-4EBD-86BB-6375CF8F9E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2-940E-41A3-9BD0-604611080B4B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fld id="{7FAB3B72-76A1-43D6-92F1-8175FF9AA59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3-940E-41A3-9BD0-604611080B4B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fld id="{A516BAB3-8BD9-4144-B95E-5872F04226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4-940E-41A3-9BD0-604611080B4B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fld id="{61F82E17-DF48-4285-B472-A0A72A8011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5-940E-41A3-9BD0-604611080B4B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fld id="{662D5055-2B99-412D-B50E-4E9D5BB9F29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6-940E-41A3-9BD0-604611080B4B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fld id="{67986A30-3839-4A9F-8913-7CA122A411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7-940E-41A3-9BD0-604611080B4B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fld id="{C929A4FC-71E0-4382-8986-32E494FF2F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8-940E-41A3-9BD0-604611080B4B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fld id="{366F6654-7397-4539-B743-CA83E06727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9-940E-41A3-9BD0-604611080B4B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fld id="{BDFF76EE-3429-4591-BC7B-2C387A5B5E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A-940E-41A3-9BD0-604611080B4B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fld id="{A69C1CB5-B636-43D9-93B9-8DBDC0CB05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B-940E-41A3-9BD0-604611080B4B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fld id="{3BB68EEA-5A43-4CAB-8A5E-4450B612BE6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C-940E-41A3-9BD0-604611080B4B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fld id="{D3CD3591-3E99-45CC-A200-A0DF306CEE9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D-940E-41A3-9BD0-604611080B4B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fld id="{0C1190F1-7A5C-4339-BC4A-3ECC05A6611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E-940E-41A3-9BD0-604611080B4B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fld id="{C0C6A726-71E7-42A3-9BA0-AFAA7C5FBF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F-940E-41A3-9BD0-604611080B4B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fld id="{FCA07177-9ADD-46E6-9950-479809160FF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0-940E-41A3-9BD0-604611080B4B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fld id="{E89FFEBF-7604-4AB5-9B0D-F5A8D8C5313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1-940E-41A3-9BD0-604611080B4B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fld id="{D854A524-A75C-40E2-AB13-04BDEA0597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2-940E-41A3-9BD0-604611080B4B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fld id="{538F54C3-0175-4172-AC45-FBA40E6F90E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3-940E-41A3-9BD0-604611080B4B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fld id="{EDDE91F3-06A3-4416-9F2C-90467C14E4B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4-940E-41A3-9BD0-604611080B4B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fld id="{E4B208A4-B514-42C7-8689-ED93571435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5-940E-41A3-9BD0-604611080B4B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fld id="{81E9F5F6-776C-4788-820A-BDFC9C7685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6-940E-41A3-9BD0-604611080B4B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fld id="{53A859B8-4645-48A6-B727-0F281B89F10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7-940E-41A3-9BD0-604611080B4B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fld id="{D5A1FAFE-DB6C-4C26-96E9-DEE5D4F0C7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8-940E-41A3-9BD0-604611080B4B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fld id="{E0A690CD-3CE7-42D9-AE6A-1886A64B806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9-940E-41A3-9BD0-604611080B4B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fld id="{C3D75C5E-D8FF-4D23-8EA2-72C523E6487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A-940E-41A3-9BD0-604611080B4B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fld id="{38E6F7D3-0D1C-4C10-86BC-979B8E8A53B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B-940E-41A3-9BD0-604611080B4B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fld id="{0A5E380F-659B-4799-B7BF-3AB55927AB0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C-940E-41A3-9BD0-604611080B4B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fld id="{C0789889-6F42-495E-899B-A9B0C004760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D-940E-41A3-9BD0-604611080B4B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fld id="{5C14B463-CFB4-4E2D-BD6D-C69FD234571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E-940E-41A3-9BD0-604611080B4B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fld id="{635B8AA9-75AB-49E3-B81F-76A576D194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F-940E-41A3-9BD0-604611080B4B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fld id="{9687D374-C641-4BCA-AE90-D00CA45732E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0-940E-41A3-9BD0-604611080B4B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fld id="{DF645096-BB94-4EA4-B277-3D1DBD6FA1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1-940E-41A3-9BD0-604611080B4B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fld id="{18037B8C-0E1F-43F5-826F-2C3B77711E8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2-940E-41A3-9BD0-604611080B4B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fld id="{2F26F821-E5E6-4671-9FDC-E2D7940F68B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3-940E-41A3-9BD0-604611080B4B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fld id="{C93AEBDC-8705-4F36-87E5-F7EC6B0188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4-940E-41A3-9BD0-604611080B4B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fld id="{DC3E30A4-BEAB-434E-9036-4C958D0FB4A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5-940E-41A3-9BD0-604611080B4B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fld id="{E316D2A2-C399-4268-BEFD-FAFAC13C66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6-940E-41A3-9BD0-604611080B4B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fld id="{22BD8CF1-3A20-4428-93DC-6682C7BE00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7-940E-41A3-9BD0-604611080B4B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fld id="{9AA3FAAC-4B1E-45B9-B5C4-67B99250FC6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8-940E-41A3-9BD0-604611080B4B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fld id="{1E3C27F7-91DC-4A86-8A2E-D3B5924F09E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9-940E-41A3-9BD0-604611080B4B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fld id="{11C31575-6900-43AF-BBEF-58E42FD3FC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A-940E-41A3-9BD0-604611080B4B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fld id="{29B458A7-7AEB-4D0D-83DB-799B51BE87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B-940E-41A3-9BD0-604611080B4B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fld id="{37D649FD-2995-4862-BD7D-C786128E12D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C-940E-41A3-9BD0-604611080B4B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fld id="{419F0A84-AB71-4CA3-B3B4-88EF49E0AD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D-940E-41A3-9BD0-604611080B4B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fld id="{1750F860-AF70-483E-A02A-6A30E9101AC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E-940E-41A3-9BD0-604611080B4B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fld id="{6CC0899D-D892-497D-B6FC-EAA9E4746E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F-940E-41A3-9BD0-604611080B4B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fld id="{72F1DC43-1AE7-4099-B9FC-048B9D0D127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0-940E-41A3-9BD0-604611080B4B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fld id="{C9C31B53-BC17-4050-8CD3-341D939BB1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1-940E-41A3-9BD0-604611080B4B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fld id="{FA1B1538-F142-4594-92F3-FB02C7F2CF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2-940E-41A3-9BD0-604611080B4B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fld id="{2A7AFB9B-02F2-442A-9953-2475FAE5D3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3-940E-41A3-9BD0-604611080B4B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fld id="{7924148A-343D-443A-85AC-465860B56C8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4-940E-41A3-9BD0-604611080B4B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fld id="{45722CC5-CB51-425A-9A5A-77F96915440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5-940E-41A3-9BD0-604611080B4B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fld id="{BEDEEB73-9907-4C7E-A002-6568CF4767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6-940E-41A3-9BD0-604611080B4B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fld id="{38B5CDDB-6826-46DE-A721-614E2AB570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7-940E-41A3-9BD0-604611080B4B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fld id="{84304A29-5152-484A-BFC0-86AB1C9BE9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8-940E-41A3-9BD0-604611080B4B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fld id="{30C84B4B-0234-4CB6-B68C-8F7E81BE467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9-940E-41A3-9BD0-604611080B4B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fld id="{E80AC50B-29C8-49FB-98B6-DFFE46BC510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A-940E-41A3-9BD0-604611080B4B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fld id="{AEA4F485-AF58-465B-944F-6C87C169A96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B-940E-41A3-9BD0-604611080B4B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fld id="{79277AE9-7933-4C59-BC3C-89A4AC296D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C-940E-41A3-9BD0-604611080B4B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fld id="{71619F30-3A7D-4156-9C80-2617945B5F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D-940E-41A3-9BD0-604611080B4B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fld id="{F2C7D962-2A1D-47D5-BE4B-9CAE3CBA597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E-940E-41A3-9BD0-604611080B4B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fld id="{BB34BFED-BD3A-4C9C-A022-0E5C32F130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F-940E-41A3-9BD0-604611080B4B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fld id="{50AEECBE-0274-4132-8E32-422FAC21574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0-940E-41A3-9BD0-604611080B4B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fld id="{50B858E0-F159-4F79-A8E6-0E517B58CD8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1-940E-41A3-9BD0-604611080B4B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fld id="{3DE4BC8C-D707-4F54-8FDF-B6A9B3A4BA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2-940E-41A3-9BD0-604611080B4B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fld id="{8A47B902-BB25-484E-A7CF-7715137A7DA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3-940E-41A3-9BD0-604611080B4B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fld id="{1B07A442-8C32-494E-9142-09E1A926306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4-940E-41A3-9BD0-604611080B4B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fld id="{4FE27B1F-53BB-4EB3-BB8B-0EECABBA22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5-940E-41A3-9BD0-604611080B4B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fld id="{AC8AFE03-F0E0-452E-B8F2-ADE04925D2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6-940E-41A3-9BD0-604611080B4B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fld id="{EB495BB1-1B96-4760-9497-D562D39690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7-940E-41A3-9BD0-604611080B4B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fld id="{613C9BC6-9486-4873-8656-7871261376F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8-940E-41A3-9BD0-604611080B4B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fld id="{6E92C241-79D3-4E4D-9F1A-42E10AF1B5D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9-940E-41A3-9BD0-604611080B4B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fld id="{79A4B2E3-6AEC-448D-8D63-748934A301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A-940E-41A3-9BD0-604611080B4B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fld id="{D63E0851-CB89-4666-A146-66B7FB6BCC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B-940E-41A3-9BD0-604611080B4B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fld id="{856B897B-79EB-4525-91E5-0A871EA95B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C-940E-41A3-9BD0-604611080B4B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fld id="{F4AAB341-AEE2-42AE-842D-A35767E8C0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D-940E-41A3-9BD0-604611080B4B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fld id="{BCF0BA61-CA79-4890-8EA5-E65DD9E745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E-940E-41A3-9BD0-604611080B4B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fld id="{1E1098AF-E3E8-4774-8C37-8E9C64AC610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F-940E-41A3-9BD0-604611080B4B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fld id="{D4E3104F-9178-410F-88FD-2F4CE7D2CB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0-940E-41A3-9BD0-604611080B4B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fld id="{6D27DE57-CA75-4708-91BE-7F65016E13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1-940E-41A3-9BD0-604611080B4B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fld id="{C9BE886F-759E-4346-B082-85B34F5227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2-940E-41A3-9BD0-604611080B4B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fld id="{DB461610-A0F6-4D85-969C-E0EB2CFF89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3-940E-41A3-9BD0-604611080B4B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fld id="{A3CC2CEC-C160-46A0-90EE-0907A866CA5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4-940E-41A3-9BD0-604611080B4B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fld id="{026762FD-DF9F-4B24-896D-A512703215A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5-940E-41A3-9BD0-604611080B4B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fld id="{BD1CEA7A-78CF-4B94-B450-D186F9D1E95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6-940E-41A3-9BD0-604611080B4B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fld id="{07B293BD-74E1-47B6-90CA-3E563FC865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7-940E-41A3-9BD0-604611080B4B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fld id="{DF54D049-4C9C-4C82-8CF1-7FDF61F320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8-940E-41A3-9BD0-604611080B4B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fld id="{1BCEB68A-9E39-4403-B272-39AB026002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9-940E-41A3-9BD0-604611080B4B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fld id="{72E15AB0-DE91-4C50-AEBF-BB08ADC629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A-940E-41A3-9BD0-604611080B4B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fld id="{397B9A5B-71A6-4F97-850D-2C996C3F61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B-940E-41A3-9BD0-604611080B4B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fld id="{C00F1781-5FFA-464E-B0B2-00216436F6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C-940E-41A3-9BD0-604611080B4B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fld id="{9643F457-6AC9-4F42-8237-6186AB137E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D-940E-41A3-9BD0-604611080B4B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fld id="{38AD1909-C6BB-4B37-ADBC-29EBBE6D43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E-940E-41A3-9BD0-604611080B4B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fld id="{CB6870D9-B7D3-447D-A383-FA3A50810C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F-940E-41A3-9BD0-604611080B4B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fld id="{DA2A8D38-ECBB-406D-881D-40F7E68254E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0-940E-41A3-9BD0-604611080B4B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fld id="{858358B3-1999-471F-A0B4-2B93E04850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1-940E-41A3-9BD0-604611080B4B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fld id="{C9CABBD0-D14B-47FD-AF63-7B2C712FE6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2-940E-41A3-9BD0-604611080B4B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fld id="{3BB23EDA-1A1A-4AA0-A65C-14164CF05F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3-940E-41A3-9BD0-604611080B4B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fld id="{97DB0E83-DDF9-40CE-9A80-04A6F0D5B2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4-940E-41A3-9BD0-604611080B4B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fld id="{5F8650FD-F84C-4BB2-813F-DCD3F910E13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5-940E-41A3-9BD0-604611080B4B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fld id="{733EDA24-85F1-426F-908B-9C34E7358F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6-940E-41A3-9BD0-604611080B4B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fld id="{7BD8BA19-2DA0-4B92-B9B3-30D1C9C0D9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7-940E-41A3-9BD0-604611080B4B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fld id="{9D58DC7A-8F06-4CEB-BDF4-485E27E267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8-940E-41A3-9BD0-604611080B4B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fld id="{3A56DE66-BCA0-4309-850B-2B072896B83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9-940E-41A3-9BD0-604611080B4B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fld id="{F970C0DA-55E2-465C-9AEB-79B7B18358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A-940E-41A3-9BD0-604611080B4B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fld id="{E2F88973-B738-49B2-94F1-632526FC3D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B-940E-41A3-9BD0-604611080B4B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fld id="{01302D5E-00BF-4841-94C0-1B9C74A6B4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C-940E-41A3-9BD0-604611080B4B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fld id="{43CFF26F-1037-4711-9698-A0C86B43A9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D-940E-41A3-9BD0-604611080B4B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fld id="{0D9D6339-FBBB-46E4-81DE-EAF61A06F1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E-940E-41A3-9BD0-604611080B4B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fld id="{28428F12-6C18-4141-8DFE-652D7C3FA6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F-940E-41A3-9BD0-604611080B4B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fld id="{E447DD3B-BD36-449E-80EE-9E6CA6E44E7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40-940E-41A3-9BD0-604611080B4B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fld id="{53BEB0DF-1750-47ED-866C-0F4922B63D6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41-940E-41A3-9BD0-604611080B4B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fld id="{FF9CD2AD-FFDC-40F4-85A3-3775C37668C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42-940E-41A3-9BD0-604611080B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Paths!$AB$1:$AB$441</c:f>
              <c:numCache>
                <c:formatCode>General</c:formatCode>
                <c:ptCount val="44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  <c:pt idx="21">
                  <c:v>-10</c:v>
                </c:pt>
                <c:pt idx="22">
                  <c:v>-9</c:v>
                </c:pt>
                <c:pt idx="23">
                  <c:v>-8</c:v>
                </c:pt>
                <c:pt idx="24">
                  <c:v>-7</c:v>
                </c:pt>
                <c:pt idx="25">
                  <c:v>-6</c:v>
                </c:pt>
                <c:pt idx="26">
                  <c:v>-5</c:v>
                </c:pt>
                <c:pt idx="27">
                  <c:v>-4</c:v>
                </c:pt>
                <c:pt idx="28">
                  <c:v>-3</c:v>
                </c:pt>
                <c:pt idx="29">
                  <c:v>-2</c:v>
                </c:pt>
                <c:pt idx="30">
                  <c:v>-1</c:v>
                </c:pt>
                <c:pt idx="31">
                  <c:v>0</c:v>
                </c:pt>
                <c:pt idx="32">
                  <c:v>1</c:v>
                </c:pt>
                <c:pt idx="33">
                  <c:v>2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9</c:v>
                </c:pt>
                <c:pt idx="41">
                  <c:v>10</c:v>
                </c:pt>
                <c:pt idx="42">
                  <c:v>-10</c:v>
                </c:pt>
                <c:pt idx="43">
                  <c:v>-9</c:v>
                </c:pt>
                <c:pt idx="44">
                  <c:v>-8</c:v>
                </c:pt>
                <c:pt idx="45">
                  <c:v>-7</c:v>
                </c:pt>
                <c:pt idx="46">
                  <c:v>-6</c:v>
                </c:pt>
                <c:pt idx="47">
                  <c:v>-5</c:v>
                </c:pt>
                <c:pt idx="48">
                  <c:v>-4</c:v>
                </c:pt>
                <c:pt idx="49">
                  <c:v>-3</c:v>
                </c:pt>
                <c:pt idx="50">
                  <c:v>-2</c:v>
                </c:pt>
                <c:pt idx="51">
                  <c:v>-1</c:v>
                </c:pt>
                <c:pt idx="52">
                  <c:v>0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-10</c:v>
                </c:pt>
                <c:pt idx="64">
                  <c:v>-9</c:v>
                </c:pt>
                <c:pt idx="65">
                  <c:v>-8</c:v>
                </c:pt>
                <c:pt idx="66">
                  <c:v>-7</c:v>
                </c:pt>
                <c:pt idx="67">
                  <c:v>-6</c:v>
                </c:pt>
                <c:pt idx="68">
                  <c:v>-5</c:v>
                </c:pt>
                <c:pt idx="69">
                  <c:v>-4</c:v>
                </c:pt>
                <c:pt idx="70">
                  <c:v>-3</c:v>
                </c:pt>
                <c:pt idx="71">
                  <c:v>-2</c:v>
                </c:pt>
                <c:pt idx="72">
                  <c:v>-1</c:v>
                </c:pt>
                <c:pt idx="73">
                  <c:v>0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4</c:v>
                </c:pt>
                <c:pt idx="78">
                  <c:v>5</c:v>
                </c:pt>
                <c:pt idx="79">
                  <c:v>6</c:v>
                </c:pt>
                <c:pt idx="80">
                  <c:v>7</c:v>
                </c:pt>
                <c:pt idx="81">
                  <c:v>8</c:v>
                </c:pt>
                <c:pt idx="82">
                  <c:v>9</c:v>
                </c:pt>
                <c:pt idx="83">
                  <c:v>10</c:v>
                </c:pt>
                <c:pt idx="84">
                  <c:v>-10</c:v>
                </c:pt>
                <c:pt idx="85">
                  <c:v>-9</c:v>
                </c:pt>
                <c:pt idx="86">
                  <c:v>-8</c:v>
                </c:pt>
                <c:pt idx="87">
                  <c:v>-7</c:v>
                </c:pt>
                <c:pt idx="88">
                  <c:v>-6</c:v>
                </c:pt>
                <c:pt idx="89">
                  <c:v>-5</c:v>
                </c:pt>
                <c:pt idx="90">
                  <c:v>-4</c:v>
                </c:pt>
                <c:pt idx="91">
                  <c:v>-3</c:v>
                </c:pt>
                <c:pt idx="92">
                  <c:v>-2</c:v>
                </c:pt>
                <c:pt idx="93">
                  <c:v>-1</c:v>
                </c:pt>
                <c:pt idx="94">
                  <c:v>0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4</c:v>
                </c:pt>
                <c:pt idx="99">
                  <c:v>5</c:v>
                </c:pt>
                <c:pt idx="100">
                  <c:v>6</c:v>
                </c:pt>
                <c:pt idx="101">
                  <c:v>7</c:v>
                </c:pt>
                <c:pt idx="102">
                  <c:v>8</c:v>
                </c:pt>
                <c:pt idx="103">
                  <c:v>9</c:v>
                </c:pt>
                <c:pt idx="104">
                  <c:v>10</c:v>
                </c:pt>
                <c:pt idx="105">
                  <c:v>-10</c:v>
                </c:pt>
                <c:pt idx="106">
                  <c:v>-9</c:v>
                </c:pt>
                <c:pt idx="107">
                  <c:v>-8</c:v>
                </c:pt>
                <c:pt idx="108">
                  <c:v>-7</c:v>
                </c:pt>
                <c:pt idx="109">
                  <c:v>-6</c:v>
                </c:pt>
                <c:pt idx="110">
                  <c:v>-5</c:v>
                </c:pt>
                <c:pt idx="111">
                  <c:v>-4</c:v>
                </c:pt>
                <c:pt idx="112">
                  <c:v>-3</c:v>
                </c:pt>
                <c:pt idx="113">
                  <c:v>-2</c:v>
                </c:pt>
                <c:pt idx="114">
                  <c:v>-1</c:v>
                </c:pt>
                <c:pt idx="115">
                  <c:v>0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4</c:v>
                </c:pt>
                <c:pt idx="120">
                  <c:v>5</c:v>
                </c:pt>
                <c:pt idx="121">
                  <c:v>6</c:v>
                </c:pt>
                <c:pt idx="122">
                  <c:v>7</c:v>
                </c:pt>
                <c:pt idx="123">
                  <c:v>8</c:v>
                </c:pt>
                <c:pt idx="124">
                  <c:v>9</c:v>
                </c:pt>
                <c:pt idx="125">
                  <c:v>10</c:v>
                </c:pt>
                <c:pt idx="126">
                  <c:v>-10</c:v>
                </c:pt>
                <c:pt idx="127">
                  <c:v>-9</c:v>
                </c:pt>
                <c:pt idx="128">
                  <c:v>-8</c:v>
                </c:pt>
                <c:pt idx="129">
                  <c:v>-7</c:v>
                </c:pt>
                <c:pt idx="130">
                  <c:v>-6</c:v>
                </c:pt>
                <c:pt idx="131">
                  <c:v>-5</c:v>
                </c:pt>
                <c:pt idx="132">
                  <c:v>-4</c:v>
                </c:pt>
                <c:pt idx="133">
                  <c:v>-3</c:v>
                </c:pt>
                <c:pt idx="134">
                  <c:v>-2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2</c:v>
                </c:pt>
                <c:pt idx="139">
                  <c:v>3</c:v>
                </c:pt>
                <c:pt idx="140">
                  <c:v>4</c:v>
                </c:pt>
                <c:pt idx="141">
                  <c:v>5</c:v>
                </c:pt>
                <c:pt idx="142">
                  <c:v>6</c:v>
                </c:pt>
                <c:pt idx="143">
                  <c:v>7</c:v>
                </c:pt>
                <c:pt idx="144">
                  <c:v>8</c:v>
                </c:pt>
                <c:pt idx="145">
                  <c:v>9</c:v>
                </c:pt>
                <c:pt idx="146">
                  <c:v>10</c:v>
                </c:pt>
                <c:pt idx="147">
                  <c:v>-10</c:v>
                </c:pt>
                <c:pt idx="148">
                  <c:v>-9</c:v>
                </c:pt>
                <c:pt idx="149">
                  <c:v>-8</c:v>
                </c:pt>
                <c:pt idx="150">
                  <c:v>-7</c:v>
                </c:pt>
                <c:pt idx="151">
                  <c:v>-6</c:v>
                </c:pt>
                <c:pt idx="152">
                  <c:v>-5</c:v>
                </c:pt>
                <c:pt idx="153">
                  <c:v>-4</c:v>
                </c:pt>
                <c:pt idx="154">
                  <c:v>-3</c:v>
                </c:pt>
                <c:pt idx="155">
                  <c:v>-2</c:v>
                </c:pt>
                <c:pt idx="156">
                  <c:v>-1</c:v>
                </c:pt>
                <c:pt idx="157">
                  <c:v>0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7</c:v>
                </c:pt>
                <c:pt idx="165">
                  <c:v>8</c:v>
                </c:pt>
                <c:pt idx="166">
                  <c:v>9</c:v>
                </c:pt>
                <c:pt idx="167">
                  <c:v>10</c:v>
                </c:pt>
                <c:pt idx="168">
                  <c:v>-10</c:v>
                </c:pt>
                <c:pt idx="169">
                  <c:v>-9</c:v>
                </c:pt>
                <c:pt idx="170">
                  <c:v>-8</c:v>
                </c:pt>
                <c:pt idx="171">
                  <c:v>-7</c:v>
                </c:pt>
                <c:pt idx="172">
                  <c:v>-6</c:v>
                </c:pt>
                <c:pt idx="173">
                  <c:v>-5</c:v>
                </c:pt>
                <c:pt idx="174">
                  <c:v>-4</c:v>
                </c:pt>
                <c:pt idx="175">
                  <c:v>-3</c:v>
                </c:pt>
                <c:pt idx="176">
                  <c:v>-2</c:v>
                </c:pt>
                <c:pt idx="177">
                  <c:v>-1</c:v>
                </c:pt>
                <c:pt idx="178">
                  <c:v>0</c:v>
                </c:pt>
                <c:pt idx="179">
                  <c:v>1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7</c:v>
                </c:pt>
                <c:pt idx="186">
                  <c:v>8</c:v>
                </c:pt>
                <c:pt idx="187">
                  <c:v>9</c:v>
                </c:pt>
                <c:pt idx="188">
                  <c:v>10</c:v>
                </c:pt>
                <c:pt idx="189">
                  <c:v>-10</c:v>
                </c:pt>
                <c:pt idx="190">
                  <c:v>-9</c:v>
                </c:pt>
                <c:pt idx="191">
                  <c:v>-8</c:v>
                </c:pt>
                <c:pt idx="192">
                  <c:v>-7</c:v>
                </c:pt>
                <c:pt idx="193">
                  <c:v>-6</c:v>
                </c:pt>
                <c:pt idx="194">
                  <c:v>-5</c:v>
                </c:pt>
                <c:pt idx="195">
                  <c:v>-4</c:v>
                </c:pt>
                <c:pt idx="196">
                  <c:v>-3</c:v>
                </c:pt>
                <c:pt idx="197">
                  <c:v>-2</c:v>
                </c:pt>
                <c:pt idx="198">
                  <c:v>-1</c:v>
                </c:pt>
                <c:pt idx="199">
                  <c:v>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6</c:v>
                </c:pt>
                <c:pt idx="206">
                  <c:v>7</c:v>
                </c:pt>
                <c:pt idx="207">
                  <c:v>8</c:v>
                </c:pt>
                <c:pt idx="208">
                  <c:v>9</c:v>
                </c:pt>
                <c:pt idx="209">
                  <c:v>10</c:v>
                </c:pt>
                <c:pt idx="210">
                  <c:v>-10</c:v>
                </c:pt>
                <c:pt idx="211">
                  <c:v>-9</c:v>
                </c:pt>
                <c:pt idx="212">
                  <c:v>-8</c:v>
                </c:pt>
                <c:pt idx="213">
                  <c:v>-7</c:v>
                </c:pt>
                <c:pt idx="214">
                  <c:v>-6</c:v>
                </c:pt>
                <c:pt idx="215">
                  <c:v>-5</c:v>
                </c:pt>
                <c:pt idx="216">
                  <c:v>-4</c:v>
                </c:pt>
                <c:pt idx="217">
                  <c:v>-3</c:v>
                </c:pt>
                <c:pt idx="218">
                  <c:v>-2</c:v>
                </c:pt>
                <c:pt idx="219">
                  <c:v>-1</c:v>
                </c:pt>
                <c:pt idx="220">
                  <c:v>0</c:v>
                </c:pt>
                <c:pt idx="221">
                  <c:v>1</c:v>
                </c:pt>
                <c:pt idx="222">
                  <c:v>2</c:v>
                </c:pt>
                <c:pt idx="223">
                  <c:v>3</c:v>
                </c:pt>
                <c:pt idx="224">
                  <c:v>4</c:v>
                </c:pt>
                <c:pt idx="225">
                  <c:v>5</c:v>
                </c:pt>
                <c:pt idx="226">
                  <c:v>6</c:v>
                </c:pt>
                <c:pt idx="227">
                  <c:v>7</c:v>
                </c:pt>
                <c:pt idx="228">
                  <c:v>8</c:v>
                </c:pt>
                <c:pt idx="229">
                  <c:v>9</c:v>
                </c:pt>
                <c:pt idx="230">
                  <c:v>10</c:v>
                </c:pt>
                <c:pt idx="231">
                  <c:v>-10</c:v>
                </c:pt>
                <c:pt idx="232">
                  <c:v>-9</c:v>
                </c:pt>
                <c:pt idx="233">
                  <c:v>-8</c:v>
                </c:pt>
                <c:pt idx="234">
                  <c:v>-7</c:v>
                </c:pt>
                <c:pt idx="235">
                  <c:v>-6</c:v>
                </c:pt>
                <c:pt idx="236">
                  <c:v>-5</c:v>
                </c:pt>
                <c:pt idx="237">
                  <c:v>-4</c:v>
                </c:pt>
                <c:pt idx="238">
                  <c:v>-3</c:v>
                </c:pt>
                <c:pt idx="239">
                  <c:v>-2</c:v>
                </c:pt>
                <c:pt idx="240">
                  <c:v>-1</c:v>
                </c:pt>
                <c:pt idx="241">
                  <c:v>0</c:v>
                </c:pt>
                <c:pt idx="242">
                  <c:v>1</c:v>
                </c:pt>
                <c:pt idx="243">
                  <c:v>2</c:v>
                </c:pt>
                <c:pt idx="244">
                  <c:v>3</c:v>
                </c:pt>
                <c:pt idx="245">
                  <c:v>4</c:v>
                </c:pt>
                <c:pt idx="246">
                  <c:v>5</c:v>
                </c:pt>
                <c:pt idx="247">
                  <c:v>6</c:v>
                </c:pt>
                <c:pt idx="248">
                  <c:v>7</c:v>
                </c:pt>
                <c:pt idx="249">
                  <c:v>8</c:v>
                </c:pt>
                <c:pt idx="250">
                  <c:v>9</c:v>
                </c:pt>
                <c:pt idx="251">
                  <c:v>10</c:v>
                </c:pt>
                <c:pt idx="252">
                  <c:v>-10</c:v>
                </c:pt>
                <c:pt idx="253">
                  <c:v>-9</c:v>
                </c:pt>
                <c:pt idx="254">
                  <c:v>-8</c:v>
                </c:pt>
                <c:pt idx="255">
                  <c:v>-7</c:v>
                </c:pt>
                <c:pt idx="256">
                  <c:v>-6</c:v>
                </c:pt>
                <c:pt idx="257">
                  <c:v>-5</c:v>
                </c:pt>
                <c:pt idx="258">
                  <c:v>-4</c:v>
                </c:pt>
                <c:pt idx="259">
                  <c:v>-3</c:v>
                </c:pt>
                <c:pt idx="260">
                  <c:v>-2</c:v>
                </c:pt>
                <c:pt idx="261">
                  <c:v>-1</c:v>
                </c:pt>
                <c:pt idx="262">
                  <c:v>0</c:v>
                </c:pt>
                <c:pt idx="263">
                  <c:v>1</c:v>
                </c:pt>
                <c:pt idx="264">
                  <c:v>2</c:v>
                </c:pt>
                <c:pt idx="265">
                  <c:v>3</c:v>
                </c:pt>
                <c:pt idx="266">
                  <c:v>4</c:v>
                </c:pt>
                <c:pt idx="267">
                  <c:v>5</c:v>
                </c:pt>
                <c:pt idx="268">
                  <c:v>6</c:v>
                </c:pt>
                <c:pt idx="269">
                  <c:v>7</c:v>
                </c:pt>
                <c:pt idx="270">
                  <c:v>8</c:v>
                </c:pt>
                <c:pt idx="271">
                  <c:v>9</c:v>
                </c:pt>
                <c:pt idx="272">
                  <c:v>10</c:v>
                </c:pt>
                <c:pt idx="273">
                  <c:v>-10</c:v>
                </c:pt>
                <c:pt idx="274">
                  <c:v>-9</c:v>
                </c:pt>
                <c:pt idx="275">
                  <c:v>-8</c:v>
                </c:pt>
                <c:pt idx="276">
                  <c:v>-7</c:v>
                </c:pt>
                <c:pt idx="277">
                  <c:v>-6</c:v>
                </c:pt>
                <c:pt idx="278">
                  <c:v>-5</c:v>
                </c:pt>
                <c:pt idx="279">
                  <c:v>-4</c:v>
                </c:pt>
                <c:pt idx="280">
                  <c:v>-3</c:v>
                </c:pt>
                <c:pt idx="281">
                  <c:v>-2</c:v>
                </c:pt>
                <c:pt idx="282">
                  <c:v>-1</c:v>
                </c:pt>
                <c:pt idx="283">
                  <c:v>0</c:v>
                </c:pt>
                <c:pt idx="284">
                  <c:v>1</c:v>
                </c:pt>
                <c:pt idx="285">
                  <c:v>2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6</c:v>
                </c:pt>
                <c:pt idx="290">
                  <c:v>7</c:v>
                </c:pt>
                <c:pt idx="291">
                  <c:v>8</c:v>
                </c:pt>
                <c:pt idx="292">
                  <c:v>9</c:v>
                </c:pt>
                <c:pt idx="293">
                  <c:v>10</c:v>
                </c:pt>
                <c:pt idx="294">
                  <c:v>-10</c:v>
                </c:pt>
                <c:pt idx="295">
                  <c:v>-9</c:v>
                </c:pt>
                <c:pt idx="296">
                  <c:v>-8</c:v>
                </c:pt>
                <c:pt idx="297">
                  <c:v>-7</c:v>
                </c:pt>
                <c:pt idx="298">
                  <c:v>-6</c:v>
                </c:pt>
                <c:pt idx="299">
                  <c:v>-5</c:v>
                </c:pt>
                <c:pt idx="300">
                  <c:v>-4</c:v>
                </c:pt>
                <c:pt idx="301">
                  <c:v>-3</c:v>
                </c:pt>
                <c:pt idx="302">
                  <c:v>-2</c:v>
                </c:pt>
                <c:pt idx="303">
                  <c:v>-1</c:v>
                </c:pt>
                <c:pt idx="304">
                  <c:v>0</c:v>
                </c:pt>
                <c:pt idx="305">
                  <c:v>1</c:v>
                </c:pt>
                <c:pt idx="306">
                  <c:v>2</c:v>
                </c:pt>
                <c:pt idx="307">
                  <c:v>3</c:v>
                </c:pt>
                <c:pt idx="308">
                  <c:v>4</c:v>
                </c:pt>
                <c:pt idx="309">
                  <c:v>5</c:v>
                </c:pt>
                <c:pt idx="310">
                  <c:v>6</c:v>
                </c:pt>
                <c:pt idx="311">
                  <c:v>7</c:v>
                </c:pt>
                <c:pt idx="312">
                  <c:v>8</c:v>
                </c:pt>
                <c:pt idx="313">
                  <c:v>9</c:v>
                </c:pt>
                <c:pt idx="314">
                  <c:v>10</c:v>
                </c:pt>
                <c:pt idx="315">
                  <c:v>-10</c:v>
                </c:pt>
                <c:pt idx="316">
                  <c:v>-9</c:v>
                </c:pt>
                <c:pt idx="317">
                  <c:v>-8</c:v>
                </c:pt>
                <c:pt idx="318">
                  <c:v>-7</c:v>
                </c:pt>
                <c:pt idx="319">
                  <c:v>-6</c:v>
                </c:pt>
                <c:pt idx="320">
                  <c:v>-5</c:v>
                </c:pt>
                <c:pt idx="321">
                  <c:v>-4</c:v>
                </c:pt>
                <c:pt idx="322">
                  <c:v>-3</c:v>
                </c:pt>
                <c:pt idx="323">
                  <c:v>-2</c:v>
                </c:pt>
                <c:pt idx="324">
                  <c:v>-1</c:v>
                </c:pt>
                <c:pt idx="325">
                  <c:v>0</c:v>
                </c:pt>
                <c:pt idx="326">
                  <c:v>1</c:v>
                </c:pt>
                <c:pt idx="327">
                  <c:v>2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6</c:v>
                </c:pt>
                <c:pt idx="332">
                  <c:v>7</c:v>
                </c:pt>
                <c:pt idx="333">
                  <c:v>8</c:v>
                </c:pt>
                <c:pt idx="334">
                  <c:v>9</c:v>
                </c:pt>
                <c:pt idx="335">
                  <c:v>10</c:v>
                </c:pt>
                <c:pt idx="336">
                  <c:v>-10</c:v>
                </c:pt>
                <c:pt idx="337">
                  <c:v>-9</c:v>
                </c:pt>
                <c:pt idx="338">
                  <c:v>-8</c:v>
                </c:pt>
                <c:pt idx="339">
                  <c:v>-7</c:v>
                </c:pt>
                <c:pt idx="340">
                  <c:v>-6</c:v>
                </c:pt>
                <c:pt idx="341">
                  <c:v>-5</c:v>
                </c:pt>
                <c:pt idx="342">
                  <c:v>-4</c:v>
                </c:pt>
                <c:pt idx="343">
                  <c:v>-3</c:v>
                </c:pt>
                <c:pt idx="344">
                  <c:v>-2</c:v>
                </c:pt>
                <c:pt idx="345">
                  <c:v>-1</c:v>
                </c:pt>
                <c:pt idx="346">
                  <c:v>0</c:v>
                </c:pt>
                <c:pt idx="347">
                  <c:v>1</c:v>
                </c:pt>
                <c:pt idx="348">
                  <c:v>2</c:v>
                </c:pt>
                <c:pt idx="349">
                  <c:v>3</c:v>
                </c:pt>
                <c:pt idx="350">
                  <c:v>4</c:v>
                </c:pt>
                <c:pt idx="351">
                  <c:v>5</c:v>
                </c:pt>
                <c:pt idx="352">
                  <c:v>6</c:v>
                </c:pt>
                <c:pt idx="353">
                  <c:v>7</c:v>
                </c:pt>
                <c:pt idx="354">
                  <c:v>8</c:v>
                </c:pt>
                <c:pt idx="355">
                  <c:v>9</c:v>
                </c:pt>
                <c:pt idx="356">
                  <c:v>10</c:v>
                </c:pt>
                <c:pt idx="357">
                  <c:v>-10</c:v>
                </c:pt>
                <c:pt idx="358">
                  <c:v>-9</c:v>
                </c:pt>
                <c:pt idx="359">
                  <c:v>-8</c:v>
                </c:pt>
                <c:pt idx="360">
                  <c:v>-7</c:v>
                </c:pt>
                <c:pt idx="361">
                  <c:v>-6</c:v>
                </c:pt>
                <c:pt idx="362">
                  <c:v>-5</c:v>
                </c:pt>
                <c:pt idx="363">
                  <c:v>-4</c:v>
                </c:pt>
                <c:pt idx="364">
                  <c:v>-3</c:v>
                </c:pt>
                <c:pt idx="365">
                  <c:v>-2</c:v>
                </c:pt>
                <c:pt idx="366">
                  <c:v>-1</c:v>
                </c:pt>
                <c:pt idx="367">
                  <c:v>0</c:v>
                </c:pt>
                <c:pt idx="368">
                  <c:v>1</c:v>
                </c:pt>
                <c:pt idx="369">
                  <c:v>2</c:v>
                </c:pt>
                <c:pt idx="370">
                  <c:v>3</c:v>
                </c:pt>
                <c:pt idx="371">
                  <c:v>4</c:v>
                </c:pt>
                <c:pt idx="372">
                  <c:v>5</c:v>
                </c:pt>
                <c:pt idx="373">
                  <c:v>6</c:v>
                </c:pt>
                <c:pt idx="374">
                  <c:v>7</c:v>
                </c:pt>
                <c:pt idx="375">
                  <c:v>8</c:v>
                </c:pt>
                <c:pt idx="376">
                  <c:v>9</c:v>
                </c:pt>
                <c:pt idx="377">
                  <c:v>10</c:v>
                </c:pt>
                <c:pt idx="378">
                  <c:v>-10</c:v>
                </c:pt>
                <c:pt idx="379">
                  <c:v>-9</c:v>
                </c:pt>
                <c:pt idx="380">
                  <c:v>-8</c:v>
                </c:pt>
                <c:pt idx="381">
                  <c:v>-7</c:v>
                </c:pt>
                <c:pt idx="382">
                  <c:v>-6</c:v>
                </c:pt>
                <c:pt idx="383">
                  <c:v>-5</c:v>
                </c:pt>
                <c:pt idx="384">
                  <c:v>-4</c:v>
                </c:pt>
                <c:pt idx="385">
                  <c:v>-3</c:v>
                </c:pt>
                <c:pt idx="386">
                  <c:v>-2</c:v>
                </c:pt>
                <c:pt idx="387">
                  <c:v>-1</c:v>
                </c:pt>
                <c:pt idx="388">
                  <c:v>0</c:v>
                </c:pt>
                <c:pt idx="389">
                  <c:v>1</c:v>
                </c:pt>
                <c:pt idx="390">
                  <c:v>2</c:v>
                </c:pt>
                <c:pt idx="391">
                  <c:v>3</c:v>
                </c:pt>
                <c:pt idx="392">
                  <c:v>4</c:v>
                </c:pt>
                <c:pt idx="393">
                  <c:v>5</c:v>
                </c:pt>
                <c:pt idx="394">
                  <c:v>6</c:v>
                </c:pt>
                <c:pt idx="395">
                  <c:v>7</c:v>
                </c:pt>
                <c:pt idx="396">
                  <c:v>8</c:v>
                </c:pt>
                <c:pt idx="397">
                  <c:v>9</c:v>
                </c:pt>
                <c:pt idx="398">
                  <c:v>10</c:v>
                </c:pt>
                <c:pt idx="399">
                  <c:v>-10</c:v>
                </c:pt>
                <c:pt idx="400">
                  <c:v>-9</c:v>
                </c:pt>
                <c:pt idx="401">
                  <c:v>-8</c:v>
                </c:pt>
                <c:pt idx="402">
                  <c:v>-7</c:v>
                </c:pt>
                <c:pt idx="403">
                  <c:v>-6</c:v>
                </c:pt>
                <c:pt idx="404">
                  <c:v>-5</c:v>
                </c:pt>
                <c:pt idx="405">
                  <c:v>-4</c:v>
                </c:pt>
                <c:pt idx="406">
                  <c:v>-3</c:v>
                </c:pt>
                <c:pt idx="407">
                  <c:v>-2</c:v>
                </c:pt>
                <c:pt idx="408">
                  <c:v>-1</c:v>
                </c:pt>
                <c:pt idx="409">
                  <c:v>0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4</c:v>
                </c:pt>
                <c:pt idx="414">
                  <c:v>5</c:v>
                </c:pt>
                <c:pt idx="415">
                  <c:v>6</c:v>
                </c:pt>
                <c:pt idx="416">
                  <c:v>7</c:v>
                </c:pt>
                <c:pt idx="417">
                  <c:v>8</c:v>
                </c:pt>
                <c:pt idx="418">
                  <c:v>9</c:v>
                </c:pt>
                <c:pt idx="419">
                  <c:v>10</c:v>
                </c:pt>
                <c:pt idx="420">
                  <c:v>-10</c:v>
                </c:pt>
                <c:pt idx="421">
                  <c:v>-9</c:v>
                </c:pt>
                <c:pt idx="422">
                  <c:v>-8</c:v>
                </c:pt>
                <c:pt idx="423">
                  <c:v>-7</c:v>
                </c:pt>
                <c:pt idx="424">
                  <c:v>-6</c:v>
                </c:pt>
                <c:pt idx="425">
                  <c:v>-5</c:v>
                </c:pt>
                <c:pt idx="426">
                  <c:v>-4</c:v>
                </c:pt>
                <c:pt idx="427">
                  <c:v>-3</c:v>
                </c:pt>
                <c:pt idx="428">
                  <c:v>-2</c:v>
                </c:pt>
                <c:pt idx="429">
                  <c:v>-1</c:v>
                </c:pt>
                <c:pt idx="430">
                  <c:v>0</c:v>
                </c:pt>
                <c:pt idx="431">
                  <c:v>1</c:v>
                </c:pt>
                <c:pt idx="432">
                  <c:v>2</c:v>
                </c:pt>
                <c:pt idx="433">
                  <c:v>3</c:v>
                </c:pt>
                <c:pt idx="434">
                  <c:v>4</c:v>
                </c:pt>
                <c:pt idx="435">
                  <c:v>5</c:v>
                </c:pt>
                <c:pt idx="436">
                  <c:v>6</c:v>
                </c:pt>
                <c:pt idx="437">
                  <c:v>7</c:v>
                </c:pt>
                <c:pt idx="438">
                  <c:v>8</c:v>
                </c:pt>
                <c:pt idx="439">
                  <c:v>9</c:v>
                </c:pt>
                <c:pt idx="440">
                  <c:v>10</c:v>
                </c:pt>
              </c:numCache>
            </c:numRef>
          </c:xVal>
          <c:yVal>
            <c:numRef>
              <c:f>Paths!$AA$1:$AA$441</c:f>
              <c:numCache>
                <c:formatCode>General</c:formatCode>
                <c:ptCount val="44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-9</c:v>
                </c:pt>
                <c:pt idx="22">
                  <c:v>-9</c:v>
                </c:pt>
                <c:pt idx="23">
                  <c:v>-9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  <c:pt idx="28">
                  <c:v>-9</c:v>
                </c:pt>
                <c:pt idx="29">
                  <c:v>-9</c:v>
                </c:pt>
                <c:pt idx="30">
                  <c:v>-9</c:v>
                </c:pt>
                <c:pt idx="31">
                  <c:v>-9</c:v>
                </c:pt>
                <c:pt idx="32">
                  <c:v>-9</c:v>
                </c:pt>
                <c:pt idx="33">
                  <c:v>-9</c:v>
                </c:pt>
                <c:pt idx="34">
                  <c:v>-9</c:v>
                </c:pt>
                <c:pt idx="35">
                  <c:v>-9</c:v>
                </c:pt>
                <c:pt idx="36">
                  <c:v>-9</c:v>
                </c:pt>
                <c:pt idx="37">
                  <c:v>-9</c:v>
                </c:pt>
                <c:pt idx="38">
                  <c:v>-9</c:v>
                </c:pt>
                <c:pt idx="39">
                  <c:v>-9</c:v>
                </c:pt>
                <c:pt idx="40">
                  <c:v>-9</c:v>
                </c:pt>
                <c:pt idx="41">
                  <c:v>-9</c:v>
                </c:pt>
                <c:pt idx="42">
                  <c:v>-8</c:v>
                </c:pt>
                <c:pt idx="43">
                  <c:v>-8</c:v>
                </c:pt>
                <c:pt idx="44">
                  <c:v>-8</c:v>
                </c:pt>
                <c:pt idx="45">
                  <c:v>-8</c:v>
                </c:pt>
                <c:pt idx="46">
                  <c:v>-8</c:v>
                </c:pt>
                <c:pt idx="47">
                  <c:v>-8</c:v>
                </c:pt>
                <c:pt idx="48">
                  <c:v>-8</c:v>
                </c:pt>
                <c:pt idx="49">
                  <c:v>-8</c:v>
                </c:pt>
                <c:pt idx="50">
                  <c:v>-8</c:v>
                </c:pt>
                <c:pt idx="51">
                  <c:v>-8</c:v>
                </c:pt>
                <c:pt idx="52">
                  <c:v>-8</c:v>
                </c:pt>
                <c:pt idx="53">
                  <c:v>-8</c:v>
                </c:pt>
                <c:pt idx="54">
                  <c:v>-8</c:v>
                </c:pt>
                <c:pt idx="55">
                  <c:v>-8</c:v>
                </c:pt>
                <c:pt idx="56">
                  <c:v>-8</c:v>
                </c:pt>
                <c:pt idx="57">
                  <c:v>-8</c:v>
                </c:pt>
                <c:pt idx="58">
                  <c:v>-8</c:v>
                </c:pt>
                <c:pt idx="59">
                  <c:v>-8</c:v>
                </c:pt>
                <c:pt idx="60">
                  <c:v>-8</c:v>
                </c:pt>
                <c:pt idx="61">
                  <c:v>-8</c:v>
                </c:pt>
                <c:pt idx="62">
                  <c:v>-8</c:v>
                </c:pt>
                <c:pt idx="63">
                  <c:v>-7</c:v>
                </c:pt>
                <c:pt idx="64">
                  <c:v>-7</c:v>
                </c:pt>
                <c:pt idx="65">
                  <c:v>-7</c:v>
                </c:pt>
                <c:pt idx="66">
                  <c:v>-7</c:v>
                </c:pt>
                <c:pt idx="67">
                  <c:v>-7</c:v>
                </c:pt>
                <c:pt idx="68">
                  <c:v>-7</c:v>
                </c:pt>
                <c:pt idx="69">
                  <c:v>-7</c:v>
                </c:pt>
                <c:pt idx="70">
                  <c:v>-7</c:v>
                </c:pt>
                <c:pt idx="71">
                  <c:v>-7</c:v>
                </c:pt>
                <c:pt idx="72">
                  <c:v>-7</c:v>
                </c:pt>
                <c:pt idx="73">
                  <c:v>-7</c:v>
                </c:pt>
                <c:pt idx="74">
                  <c:v>-7</c:v>
                </c:pt>
                <c:pt idx="75">
                  <c:v>-7</c:v>
                </c:pt>
                <c:pt idx="76">
                  <c:v>-7</c:v>
                </c:pt>
                <c:pt idx="77">
                  <c:v>-7</c:v>
                </c:pt>
                <c:pt idx="78">
                  <c:v>-7</c:v>
                </c:pt>
                <c:pt idx="79">
                  <c:v>-7</c:v>
                </c:pt>
                <c:pt idx="80">
                  <c:v>-7</c:v>
                </c:pt>
                <c:pt idx="81">
                  <c:v>-7</c:v>
                </c:pt>
                <c:pt idx="82">
                  <c:v>-7</c:v>
                </c:pt>
                <c:pt idx="83">
                  <c:v>-7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-4</c:v>
                </c:pt>
                <c:pt idx="127">
                  <c:v>-4</c:v>
                </c:pt>
                <c:pt idx="128">
                  <c:v>-4</c:v>
                </c:pt>
                <c:pt idx="129">
                  <c:v>-4</c:v>
                </c:pt>
                <c:pt idx="130">
                  <c:v>-4</c:v>
                </c:pt>
                <c:pt idx="131">
                  <c:v>-4</c:v>
                </c:pt>
                <c:pt idx="132">
                  <c:v>-4</c:v>
                </c:pt>
                <c:pt idx="133">
                  <c:v>-4</c:v>
                </c:pt>
                <c:pt idx="134">
                  <c:v>-4</c:v>
                </c:pt>
                <c:pt idx="135">
                  <c:v>-4</c:v>
                </c:pt>
                <c:pt idx="136">
                  <c:v>-4</c:v>
                </c:pt>
                <c:pt idx="137">
                  <c:v>-4</c:v>
                </c:pt>
                <c:pt idx="138">
                  <c:v>-4</c:v>
                </c:pt>
                <c:pt idx="139">
                  <c:v>-4</c:v>
                </c:pt>
                <c:pt idx="140">
                  <c:v>-4</c:v>
                </c:pt>
                <c:pt idx="141">
                  <c:v>-4</c:v>
                </c:pt>
                <c:pt idx="142">
                  <c:v>-4</c:v>
                </c:pt>
                <c:pt idx="143">
                  <c:v>-4</c:v>
                </c:pt>
                <c:pt idx="144">
                  <c:v>-4</c:v>
                </c:pt>
                <c:pt idx="145">
                  <c:v>-4</c:v>
                </c:pt>
                <c:pt idx="146">
                  <c:v>-4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</c:v>
                </c:pt>
                <c:pt idx="155">
                  <c:v>-3</c:v>
                </c:pt>
                <c:pt idx="156">
                  <c:v>-3</c:v>
                </c:pt>
                <c:pt idx="157">
                  <c:v>-3</c:v>
                </c:pt>
                <c:pt idx="158">
                  <c:v>-3</c:v>
                </c:pt>
                <c:pt idx="159">
                  <c:v>-3</c:v>
                </c:pt>
                <c:pt idx="160">
                  <c:v>-3</c:v>
                </c:pt>
                <c:pt idx="161">
                  <c:v>-3</c:v>
                </c:pt>
                <c:pt idx="162">
                  <c:v>-3</c:v>
                </c:pt>
                <c:pt idx="163">
                  <c:v>-3</c:v>
                </c:pt>
                <c:pt idx="164">
                  <c:v>-3</c:v>
                </c:pt>
                <c:pt idx="165">
                  <c:v>-3</c:v>
                </c:pt>
                <c:pt idx="166">
                  <c:v>-3</c:v>
                </c:pt>
                <c:pt idx="167">
                  <c:v>-3</c:v>
                </c:pt>
                <c:pt idx="168">
                  <c:v>-2</c:v>
                </c:pt>
                <c:pt idx="169">
                  <c:v>-2</c:v>
                </c:pt>
                <c:pt idx="170">
                  <c:v>-2</c:v>
                </c:pt>
                <c:pt idx="171">
                  <c:v>-2</c:v>
                </c:pt>
                <c:pt idx="172">
                  <c:v>-2</c:v>
                </c:pt>
                <c:pt idx="173">
                  <c:v>-2</c:v>
                </c:pt>
                <c:pt idx="174">
                  <c:v>-2</c:v>
                </c:pt>
                <c:pt idx="175">
                  <c:v>-2</c:v>
                </c:pt>
                <c:pt idx="176">
                  <c:v>-2</c:v>
                </c:pt>
                <c:pt idx="177">
                  <c:v>-2</c:v>
                </c:pt>
                <c:pt idx="178">
                  <c:v>-2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6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9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Paths!$AC$1:$AC$441</c15:f>
                <c15:dlblRangeCache>
                  <c:ptCount val="441"/>
                  <c:pt idx="0">
                    <c:v>-10, -10</c:v>
                  </c:pt>
                  <c:pt idx="1">
                    <c:v>-9, -10</c:v>
                  </c:pt>
                  <c:pt idx="2">
                    <c:v>-8, -10</c:v>
                  </c:pt>
                  <c:pt idx="3">
                    <c:v>-7, -10</c:v>
                  </c:pt>
                  <c:pt idx="4">
                    <c:v>-6, -10</c:v>
                  </c:pt>
                  <c:pt idx="5">
                    <c:v>-5, -10</c:v>
                  </c:pt>
                  <c:pt idx="6">
                    <c:v>-4, -10</c:v>
                  </c:pt>
                  <c:pt idx="7">
                    <c:v>-3, -10</c:v>
                  </c:pt>
                  <c:pt idx="8">
                    <c:v>-2, -10</c:v>
                  </c:pt>
                  <c:pt idx="9">
                    <c:v>-1, -10</c:v>
                  </c:pt>
                  <c:pt idx="10">
                    <c:v>0, -10</c:v>
                  </c:pt>
                  <c:pt idx="11">
                    <c:v>1, -10</c:v>
                  </c:pt>
                  <c:pt idx="12">
                    <c:v>2, -10</c:v>
                  </c:pt>
                  <c:pt idx="13">
                    <c:v>3, -10</c:v>
                  </c:pt>
                  <c:pt idx="14">
                    <c:v>4, -10</c:v>
                  </c:pt>
                  <c:pt idx="15">
                    <c:v>5, -10</c:v>
                  </c:pt>
                  <c:pt idx="16">
                    <c:v>6, -10</c:v>
                  </c:pt>
                  <c:pt idx="17">
                    <c:v>7, -10</c:v>
                  </c:pt>
                  <c:pt idx="18">
                    <c:v>8, -10</c:v>
                  </c:pt>
                  <c:pt idx="19">
                    <c:v>9, -10</c:v>
                  </c:pt>
                  <c:pt idx="20">
                    <c:v>10, -10</c:v>
                  </c:pt>
                  <c:pt idx="21">
                    <c:v>-10, -9</c:v>
                  </c:pt>
                  <c:pt idx="22">
                    <c:v>-9, -9</c:v>
                  </c:pt>
                  <c:pt idx="23">
                    <c:v>-8, -9</c:v>
                  </c:pt>
                  <c:pt idx="24">
                    <c:v>-7, -9</c:v>
                  </c:pt>
                  <c:pt idx="25">
                    <c:v>-6, -9</c:v>
                  </c:pt>
                  <c:pt idx="26">
                    <c:v>-5, -9</c:v>
                  </c:pt>
                  <c:pt idx="27">
                    <c:v>-4, -9</c:v>
                  </c:pt>
                  <c:pt idx="28">
                    <c:v>-3, -9</c:v>
                  </c:pt>
                  <c:pt idx="29">
                    <c:v>-2, -9</c:v>
                  </c:pt>
                  <c:pt idx="30">
                    <c:v>-1, -9</c:v>
                  </c:pt>
                  <c:pt idx="31">
                    <c:v>0, -9</c:v>
                  </c:pt>
                  <c:pt idx="32">
                    <c:v>1, -9</c:v>
                  </c:pt>
                  <c:pt idx="33">
                    <c:v>2, -9</c:v>
                  </c:pt>
                  <c:pt idx="34">
                    <c:v>3, -9</c:v>
                  </c:pt>
                  <c:pt idx="35">
                    <c:v>4, -9</c:v>
                  </c:pt>
                  <c:pt idx="36">
                    <c:v>5, -9</c:v>
                  </c:pt>
                  <c:pt idx="37">
                    <c:v>6, -9</c:v>
                  </c:pt>
                  <c:pt idx="38">
                    <c:v>7, -9</c:v>
                  </c:pt>
                  <c:pt idx="39">
                    <c:v>8, -9</c:v>
                  </c:pt>
                  <c:pt idx="40">
                    <c:v>9, -9</c:v>
                  </c:pt>
                  <c:pt idx="41">
                    <c:v>10, -9</c:v>
                  </c:pt>
                  <c:pt idx="42">
                    <c:v>-10, -8</c:v>
                  </c:pt>
                  <c:pt idx="43">
                    <c:v>-9, -8</c:v>
                  </c:pt>
                  <c:pt idx="44">
                    <c:v>-8, -8</c:v>
                  </c:pt>
                  <c:pt idx="45">
                    <c:v>-7, -8</c:v>
                  </c:pt>
                  <c:pt idx="46">
                    <c:v>-6, -8</c:v>
                  </c:pt>
                  <c:pt idx="47">
                    <c:v>-5, -8</c:v>
                  </c:pt>
                  <c:pt idx="48">
                    <c:v>-4, -8</c:v>
                  </c:pt>
                  <c:pt idx="49">
                    <c:v>-3, -8</c:v>
                  </c:pt>
                  <c:pt idx="50">
                    <c:v>-2, -8</c:v>
                  </c:pt>
                  <c:pt idx="51">
                    <c:v>-1, -8</c:v>
                  </c:pt>
                  <c:pt idx="52">
                    <c:v>0, -8</c:v>
                  </c:pt>
                  <c:pt idx="53">
                    <c:v>1, -8</c:v>
                  </c:pt>
                  <c:pt idx="54">
                    <c:v>2, -8</c:v>
                  </c:pt>
                  <c:pt idx="55">
                    <c:v>3, -8</c:v>
                  </c:pt>
                  <c:pt idx="56">
                    <c:v>4, -8</c:v>
                  </c:pt>
                  <c:pt idx="57">
                    <c:v>5, -8</c:v>
                  </c:pt>
                  <c:pt idx="58">
                    <c:v>6, -8</c:v>
                  </c:pt>
                  <c:pt idx="59">
                    <c:v>7, -8</c:v>
                  </c:pt>
                  <c:pt idx="60">
                    <c:v>8, -8</c:v>
                  </c:pt>
                  <c:pt idx="61">
                    <c:v>9, -8</c:v>
                  </c:pt>
                  <c:pt idx="62">
                    <c:v>10, -8</c:v>
                  </c:pt>
                  <c:pt idx="63">
                    <c:v>-10, -7</c:v>
                  </c:pt>
                  <c:pt idx="64">
                    <c:v>-9, -7</c:v>
                  </c:pt>
                  <c:pt idx="65">
                    <c:v>-8, -7</c:v>
                  </c:pt>
                  <c:pt idx="66">
                    <c:v>-7, -7</c:v>
                  </c:pt>
                  <c:pt idx="67">
                    <c:v>-6, -7</c:v>
                  </c:pt>
                  <c:pt idx="68">
                    <c:v>-5, -7</c:v>
                  </c:pt>
                  <c:pt idx="69">
                    <c:v>-4, -7</c:v>
                  </c:pt>
                  <c:pt idx="70">
                    <c:v>-3, -7</c:v>
                  </c:pt>
                  <c:pt idx="71">
                    <c:v>-2, -7</c:v>
                  </c:pt>
                  <c:pt idx="72">
                    <c:v>-1, -7</c:v>
                  </c:pt>
                  <c:pt idx="73">
                    <c:v>0, -7</c:v>
                  </c:pt>
                  <c:pt idx="74">
                    <c:v>1, -7</c:v>
                  </c:pt>
                  <c:pt idx="75">
                    <c:v>2, -7</c:v>
                  </c:pt>
                  <c:pt idx="76">
                    <c:v>3, -7</c:v>
                  </c:pt>
                  <c:pt idx="77">
                    <c:v>4, -7</c:v>
                  </c:pt>
                  <c:pt idx="78">
                    <c:v>5, -7</c:v>
                  </c:pt>
                  <c:pt idx="79">
                    <c:v>6, -7</c:v>
                  </c:pt>
                  <c:pt idx="80">
                    <c:v>7, -7</c:v>
                  </c:pt>
                  <c:pt idx="81">
                    <c:v>8, -7</c:v>
                  </c:pt>
                  <c:pt idx="82">
                    <c:v>9, -7</c:v>
                  </c:pt>
                  <c:pt idx="83">
                    <c:v>10, -7</c:v>
                  </c:pt>
                  <c:pt idx="84">
                    <c:v>-10, -6</c:v>
                  </c:pt>
                  <c:pt idx="85">
                    <c:v>-9, -6</c:v>
                  </c:pt>
                  <c:pt idx="86">
                    <c:v>-8, -6</c:v>
                  </c:pt>
                  <c:pt idx="87">
                    <c:v>-7, -6</c:v>
                  </c:pt>
                  <c:pt idx="88">
                    <c:v>-6, -6</c:v>
                  </c:pt>
                  <c:pt idx="89">
                    <c:v>-5, -6</c:v>
                  </c:pt>
                  <c:pt idx="90">
                    <c:v>-4, -6</c:v>
                  </c:pt>
                  <c:pt idx="91">
                    <c:v>-3, -6</c:v>
                  </c:pt>
                  <c:pt idx="92">
                    <c:v>-2, -6</c:v>
                  </c:pt>
                  <c:pt idx="93">
                    <c:v>-1, -6</c:v>
                  </c:pt>
                  <c:pt idx="94">
                    <c:v>0, -6</c:v>
                  </c:pt>
                  <c:pt idx="95">
                    <c:v>1, -6</c:v>
                  </c:pt>
                  <c:pt idx="96">
                    <c:v>2, -6</c:v>
                  </c:pt>
                  <c:pt idx="97">
                    <c:v>3, -6</c:v>
                  </c:pt>
                  <c:pt idx="98">
                    <c:v>4, -6</c:v>
                  </c:pt>
                  <c:pt idx="99">
                    <c:v>5, -6</c:v>
                  </c:pt>
                  <c:pt idx="100">
                    <c:v>6, -6</c:v>
                  </c:pt>
                  <c:pt idx="101">
                    <c:v>7, -6</c:v>
                  </c:pt>
                  <c:pt idx="102">
                    <c:v>8, -6</c:v>
                  </c:pt>
                  <c:pt idx="103">
                    <c:v>9, -6</c:v>
                  </c:pt>
                  <c:pt idx="104">
                    <c:v>10, -6</c:v>
                  </c:pt>
                  <c:pt idx="105">
                    <c:v>-10, -5</c:v>
                  </c:pt>
                  <c:pt idx="106">
                    <c:v>-9, -5</c:v>
                  </c:pt>
                  <c:pt idx="107">
                    <c:v>-8, -5</c:v>
                  </c:pt>
                  <c:pt idx="108">
                    <c:v>-7, -5</c:v>
                  </c:pt>
                  <c:pt idx="109">
                    <c:v>-6, -5</c:v>
                  </c:pt>
                  <c:pt idx="110">
                    <c:v>-5, -5</c:v>
                  </c:pt>
                  <c:pt idx="111">
                    <c:v>-4, -5</c:v>
                  </c:pt>
                  <c:pt idx="112">
                    <c:v>-3, -5</c:v>
                  </c:pt>
                  <c:pt idx="113">
                    <c:v>-2, -5</c:v>
                  </c:pt>
                  <c:pt idx="114">
                    <c:v>-1, -5</c:v>
                  </c:pt>
                  <c:pt idx="115">
                    <c:v>0, -5</c:v>
                  </c:pt>
                  <c:pt idx="116">
                    <c:v>1, -5</c:v>
                  </c:pt>
                  <c:pt idx="117">
                    <c:v>2, -5</c:v>
                  </c:pt>
                  <c:pt idx="118">
                    <c:v>3, -5</c:v>
                  </c:pt>
                  <c:pt idx="119">
                    <c:v>4, -5</c:v>
                  </c:pt>
                  <c:pt idx="120">
                    <c:v>5, -5</c:v>
                  </c:pt>
                  <c:pt idx="121">
                    <c:v>6, -5</c:v>
                  </c:pt>
                  <c:pt idx="122">
                    <c:v>7, -5</c:v>
                  </c:pt>
                  <c:pt idx="123">
                    <c:v>8, -5</c:v>
                  </c:pt>
                  <c:pt idx="124">
                    <c:v>9, -5</c:v>
                  </c:pt>
                  <c:pt idx="125">
                    <c:v>10, -5</c:v>
                  </c:pt>
                  <c:pt idx="126">
                    <c:v>-10, -4</c:v>
                  </c:pt>
                  <c:pt idx="127">
                    <c:v>-9, -4</c:v>
                  </c:pt>
                  <c:pt idx="128">
                    <c:v>-8, -4</c:v>
                  </c:pt>
                  <c:pt idx="129">
                    <c:v>-7, -4</c:v>
                  </c:pt>
                  <c:pt idx="130">
                    <c:v>-6, -4</c:v>
                  </c:pt>
                  <c:pt idx="131">
                    <c:v>-5, -4</c:v>
                  </c:pt>
                  <c:pt idx="132">
                    <c:v>-4, -4</c:v>
                  </c:pt>
                  <c:pt idx="133">
                    <c:v>-3, -4</c:v>
                  </c:pt>
                  <c:pt idx="134">
                    <c:v>-2, -4</c:v>
                  </c:pt>
                  <c:pt idx="135">
                    <c:v>-1, -4</c:v>
                  </c:pt>
                  <c:pt idx="136">
                    <c:v>0, -4</c:v>
                  </c:pt>
                  <c:pt idx="137">
                    <c:v>1, -4</c:v>
                  </c:pt>
                  <c:pt idx="138">
                    <c:v>2, -4</c:v>
                  </c:pt>
                  <c:pt idx="139">
                    <c:v>3, -4</c:v>
                  </c:pt>
                  <c:pt idx="140">
                    <c:v>4, -4</c:v>
                  </c:pt>
                  <c:pt idx="141">
                    <c:v>5, -4</c:v>
                  </c:pt>
                  <c:pt idx="142">
                    <c:v>6, -4</c:v>
                  </c:pt>
                  <c:pt idx="143">
                    <c:v>7, -4</c:v>
                  </c:pt>
                  <c:pt idx="144">
                    <c:v>8, -4</c:v>
                  </c:pt>
                  <c:pt idx="145">
                    <c:v>9, -4</c:v>
                  </c:pt>
                  <c:pt idx="146">
                    <c:v>10, -4</c:v>
                  </c:pt>
                  <c:pt idx="147">
                    <c:v>-10, -3</c:v>
                  </c:pt>
                  <c:pt idx="148">
                    <c:v>-9, -3</c:v>
                  </c:pt>
                  <c:pt idx="149">
                    <c:v>-8, -3</c:v>
                  </c:pt>
                  <c:pt idx="150">
                    <c:v>-7, -3</c:v>
                  </c:pt>
                  <c:pt idx="151">
                    <c:v>-6, -3</c:v>
                  </c:pt>
                  <c:pt idx="152">
                    <c:v>-5, -3</c:v>
                  </c:pt>
                  <c:pt idx="153">
                    <c:v>-4, -3</c:v>
                  </c:pt>
                  <c:pt idx="154">
                    <c:v>-3, -3</c:v>
                  </c:pt>
                  <c:pt idx="155">
                    <c:v>-2, -3</c:v>
                  </c:pt>
                  <c:pt idx="156">
                    <c:v>-1, -3</c:v>
                  </c:pt>
                  <c:pt idx="157">
                    <c:v>0, -3</c:v>
                  </c:pt>
                  <c:pt idx="158">
                    <c:v>1, -3</c:v>
                  </c:pt>
                  <c:pt idx="159">
                    <c:v>2, -3</c:v>
                  </c:pt>
                  <c:pt idx="160">
                    <c:v>3, -3</c:v>
                  </c:pt>
                  <c:pt idx="161">
                    <c:v>4, -3</c:v>
                  </c:pt>
                  <c:pt idx="162">
                    <c:v>5, -3</c:v>
                  </c:pt>
                  <c:pt idx="163">
                    <c:v>6, -3</c:v>
                  </c:pt>
                  <c:pt idx="164">
                    <c:v>7, -3</c:v>
                  </c:pt>
                  <c:pt idx="165">
                    <c:v>8, -3</c:v>
                  </c:pt>
                  <c:pt idx="166">
                    <c:v>9, -3</c:v>
                  </c:pt>
                  <c:pt idx="167">
                    <c:v>10, -3</c:v>
                  </c:pt>
                  <c:pt idx="168">
                    <c:v>-10, -2</c:v>
                  </c:pt>
                  <c:pt idx="169">
                    <c:v>-9, -2</c:v>
                  </c:pt>
                  <c:pt idx="170">
                    <c:v>-8, -2</c:v>
                  </c:pt>
                  <c:pt idx="171">
                    <c:v>-7, -2</c:v>
                  </c:pt>
                  <c:pt idx="172">
                    <c:v>-6, -2</c:v>
                  </c:pt>
                  <c:pt idx="173">
                    <c:v>-5, -2</c:v>
                  </c:pt>
                  <c:pt idx="174">
                    <c:v>-4, -2</c:v>
                  </c:pt>
                  <c:pt idx="175">
                    <c:v>-3, -2</c:v>
                  </c:pt>
                  <c:pt idx="176">
                    <c:v>-2, -2</c:v>
                  </c:pt>
                  <c:pt idx="177">
                    <c:v>-1, -2</c:v>
                  </c:pt>
                  <c:pt idx="178">
                    <c:v>0, -2</c:v>
                  </c:pt>
                  <c:pt idx="179">
                    <c:v>1, -2</c:v>
                  </c:pt>
                  <c:pt idx="180">
                    <c:v>2, -2</c:v>
                  </c:pt>
                  <c:pt idx="181">
                    <c:v>3, -2</c:v>
                  </c:pt>
                  <c:pt idx="182">
                    <c:v>4, -2</c:v>
                  </c:pt>
                  <c:pt idx="183">
                    <c:v>5, -2</c:v>
                  </c:pt>
                  <c:pt idx="184">
                    <c:v>6, -2</c:v>
                  </c:pt>
                  <c:pt idx="185">
                    <c:v>7, -2</c:v>
                  </c:pt>
                  <c:pt idx="186">
                    <c:v>8, -2</c:v>
                  </c:pt>
                  <c:pt idx="187">
                    <c:v>9, -2</c:v>
                  </c:pt>
                  <c:pt idx="188">
                    <c:v>10, -2</c:v>
                  </c:pt>
                  <c:pt idx="189">
                    <c:v>-10, -1</c:v>
                  </c:pt>
                  <c:pt idx="190">
                    <c:v>-9, -1</c:v>
                  </c:pt>
                  <c:pt idx="191">
                    <c:v>-8, -1</c:v>
                  </c:pt>
                  <c:pt idx="192">
                    <c:v>-7, -1</c:v>
                  </c:pt>
                  <c:pt idx="193">
                    <c:v>-6, -1</c:v>
                  </c:pt>
                  <c:pt idx="194">
                    <c:v>-5, -1</c:v>
                  </c:pt>
                  <c:pt idx="195">
                    <c:v>-4, -1</c:v>
                  </c:pt>
                  <c:pt idx="196">
                    <c:v>-3, -1</c:v>
                  </c:pt>
                  <c:pt idx="197">
                    <c:v>-2, -1</c:v>
                  </c:pt>
                  <c:pt idx="198">
                    <c:v>-1, -1</c:v>
                  </c:pt>
                  <c:pt idx="199">
                    <c:v>0, -1</c:v>
                  </c:pt>
                  <c:pt idx="200">
                    <c:v>1, -1</c:v>
                  </c:pt>
                  <c:pt idx="201">
                    <c:v>2, -1</c:v>
                  </c:pt>
                  <c:pt idx="202">
                    <c:v>3, -1</c:v>
                  </c:pt>
                  <c:pt idx="203">
                    <c:v>4, -1</c:v>
                  </c:pt>
                  <c:pt idx="204">
                    <c:v>5, -1</c:v>
                  </c:pt>
                  <c:pt idx="205">
                    <c:v>6, -1</c:v>
                  </c:pt>
                  <c:pt idx="206">
                    <c:v>7, -1</c:v>
                  </c:pt>
                  <c:pt idx="207">
                    <c:v>8, -1</c:v>
                  </c:pt>
                  <c:pt idx="208">
                    <c:v>9, -1</c:v>
                  </c:pt>
                  <c:pt idx="209">
                    <c:v>10, -1</c:v>
                  </c:pt>
                  <c:pt idx="210">
                    <c:v>-10, 0</c:v>
                  </c:pt>
                  <c:pt idx="211">
                    <c:v>-9, 0</c:v>
                  </c:pt>
                  <c:pt idx="212">
                    <c:v>-8, 0</c:v>
                  </c:pt>
                  <c:pt idx="213">
                    <c:v>-7, 0</c:v>
                  </c:pt>
                  <c:pt idx="214">
                    <c:v>-6, 0</c:v>
                  </c:pt>
                  <c:pt idx="215">
                    <c:v>-5, 0</c:v>
                  </c:pt>
                  <c:pt idx="216">
                    <c:v>-4, 0</c:v>
                  </c:pt>
                  <c:pt idx="217">
                    <c:v>-3, 0</c:v>
                  </c:pt>
                  <c:pt idx="218">
                    <c:v>-2, 0</c:v>
                  </c:pt>
                  <c:pt idx="219">
                    <c:v>-1, 0</c:v>
                  </c:pt>
                  <c:pt idx="220">
                    <c:v>0, 0</c:v>
                  </c:pt>
                  <c:pt idx="221">
                    <c:v>1, 0</c:v>
                  </c:pt>
                  <c:pt idx="222">
                    <c:v>2, 0</c:v>
                  </c:pt>
                  <c:pt idx="223">
                    <c:v>3, 0</c:v>
                  </c:pt>
                  <c:pt idx="224">
                    <c:v>4, 0</c:v>
                  </c:pt>
                  <c:pt idx="225">
                    <c:v>5, 0</c:v>
                  </c:pt>
                  <c:pt idx="226">
                    <c:v>6, 0</c:v>
                  </c:pt>
                  <c:pt idx="227">
                    <c:v>7, 0</c:v>
                  </c:pt>
                  <c:pt idx="228">
                    <c:v>8, 0</c:v>
                  </c:pt>
                  <c:pt idx="229">
                    <c:v>9, 0</c:v>
                  </c:pt>
                  <c:pt idx="230">
                    <c:v>10, 0</c:v>
                  </c:pt>
                  <c:pt idx="231">
                    <c:v>-10, 1</c:v>
                  </c:pt>
                  <c:pt idx="232">
                    <c:v>-9, 1</c:v>
                  </c:pt>
                  <c:pt idx="233">
                    <c:v>-8, 1</c:v>
                  </c:pt>
                  <c:pt idx="234">
                    <c:v>-7, 1</c:v>
                  </c:pt>
                  <c:pt idx="235">
                    <c:v>-6, 1</c:v>
                  </c:pt>
                  <c:pt idx="236">
                    <c:v>-5, 1</c:v>
                  </c:pt>
                  <c:pt idx="237">
                    <c:v>-4, 1</c:v>
                  </c:pt>
                  <c:pt idx="238">
                    <c:v>-3, 1</c:v>
                  </c:pt>
                  <c:pt idx="239">
                    <c:v>-2, 1</c:v>
                  </c:pt>
                  <c:pt idx="240">
                    <c:v>-1, 1</c:v>
                  </c:pt>
                  <c:pt idx="241">
                    <c:v>0, 1</c:v>
                  </c:pt>
                  <c:pt idx="242">
                    <c:v>1, 1</c:v>
                  </c:pt>
                  <c:pt idx="243">
                    <c:v>2, 1</c:v>
                  </c:pt>
                  <c:pt idx="244">
                    <c:v>3, 1</c:v>
                  </c:pt>
                  <c:pt idx="245">
                    <c:v>4, 1</c:v>
                  </c:pt>
                  <c:pt idx="246">
                    <c:v>5, 1</c:v>
                  </c:pt>
                  <c:pt idx="247">
                    <c:v>6, 1</c:v>
                  </c:pt>
                  <c:pt idx="248">
                    <c:v>7, 1</c:v>
                  </c:pt>
                  <c:pt idx="249">
                    <c:v>8, 1</c:v>
                  </c:pt>
                  <c:pt idx="250">
                    <c:v>9, 1</c:v>
                  </c:pt>
                  <c:pt idx="251">
                    <c:v>10, 1</c:v>
                  </c:pt>
                  <c:pt idx="252">
                    <c:v>-10, 2</c:v>
                  </c:pt>
                  <c:pt idx="253">
                    <c:v>-9, 2</c:v>
                  </c:pt>
                  <c:pt idx="254">
                    <c:v>-8, 2</c:v>
                  </c:pt>
                  <c:pt idx="255">
                    <c:v>-7, 2</c:v>
                  </c:pt>
                  <c:pt idx="256">
                    <c:v>-6, 2</c:v>
                  </c:pt>
                  <c:pt idx="257">
                    <c:v>-5, 2</c:v>
                  </c:pt>
                  <c:pt idx="258">
                    <c:v>-4, 2</c:v>
                  </c:pt>
                  <c:pt idx="259">
                    <c:v>-3, 2</c:v>
                  </c:pt>
                  <c:pt idx="260">
                    <c:v>-2, 2</c:v>
                  </c:pt>
                  <c:pt idx="261">
                    <c:v>-1, 2</c:v>
                  </c:pt>
                  <c:pt idx="262">
                    <c:v>0, 2</c:v>
                  </c:pt>
                  <c:pt idx="263">
                    <c:v>1, 2</c:v>
                  </c:pt>
                  <c:pt idx="264">
                    <c:v>2, 2</c:v>
                  </c:pt>
                  <c:pt idx="265">
                    <c:v>3, 2</c:v>
                  </c:pt>
                  <c:pt idx="266">
                    <c:v>4, 2</c:v>
                  </c:pt>
                  <c:pt idx="267">
                    <c:v>5, 2</c:v>
                  </c:pt>
                  <c:pt idx="268">
                    <c:v>6, 2</c:v>
                  </c:pt>
                  <c:pt idx="269">
                    <c:v>7, 2</c:v>
                  </c:pt>
                  <c:pt idx="270">
                    <c:v>8, 2</c:v>
                  </c:pt>
                  <c:pt idx="271">
                    <c:v>9, 2</c:v>
                  </c:pt>
                  <c:pt idx="272">
                    <c:v>10, 2</c:v>
                  </c:pt>
                  <c:pt idx="273">
                    <c:v>-10, 3</c:v>
                  </c:pt>
                  <c:pt idx="274">
                    <c:v>-9, 3</c:v>
                  </c:pt>
                  <c:pt idx="275">
                    <c:v>-8, 3</c:v>
                  </c:pt>
                  <c:pt idx="276">
                    <c:v>-7, 3</c:v>
                  </c:pt>
                  <c:pt idx="277">
                    <c:v>-6, 3</c:v>
                  </c:pt>
                  <c:pt idx="278">
                    <c:v>-5, 3</c:v>
                  </c:pt>
                  <c:pt idx="279">
                    <c:v>-4, 3</c:v>
                  </c:pt>
                  <c:pt idx="280">
                    <c:v>-3, 3</c:v>
                  </c:pt>
                  <c:pt idx="281">
                    <c:v>-2, 3</c:v>
                  </c:pt>
                  <c:pt idx="282">
                    <c:v>-1, 3</c:v>
                  </c:pt>
                  <c:pt idx="283">
                    <c:v>0, 3</c:v>
                  </c:pt>
                  <c:pt idx="284">
                    <c:v>1, 3</c:v>
                  </c:pt>
                  <c:pt idx="285">
                    <c:v>2, 3</c:v>
                  </c:pt>
                  <c:pt idx="286">
                    <c:v>3, 3</c:v>
                  </c:pt>
                  <c:pt idx="287">
                    <c:v>4, 3</c:v>
                  </c:pt>
                  <c:pt idx="288">
                    <c:v>5, 3</c:v>
                  </c:pt>
                  <c:pt idx="289">
                    <c:v>6, 3</c:v>
                  </c:pt>
                  <c:pt idx="290">
                    <c:v>7, 3</c:v>
                  </c:pt>
                  <c:pt idx="291">
                    <c:v>8, 3</c:v>
                  </c:pt>
                  <c:pt idx="292">
                    <c:v>9, 3</c:v>
                  </c:pt>
                  <c:pt idx="293">
                    <c:v>10, 3</c:v>
                  </c:pt>
                  <c:pt idx="294">
                    <c:v>-10, 4</c:v>
                  </c:pt>
                  <c:pt idx="295">
                    <c:v>-9, 4</c:v>
                  </c:pt>
                  <c:pt idx="296">
                    <c:v>-8, 4</c:v>
                  </c:pt>
                  <c:pt idx="297">
                    <c:v>-7, 4</c:v>
                  </c:pt>
                  <c:pt idx="298">
                    <c:v>-6, 4</c:v>
                  </c:pt>
                  <c:pt idx="299">
                    <c:v>-5, 4</c:v>
                  </c:pt>
                  <c:pt idx="300">
                    <c:v>-4, 4</c:v>
                  </c:pt>
                  <c:pt idx="301">
                    <c:v>-3, 4</c:v>
                  </c:pt>
                  <c:pt idx="302">
                    <c:v>-2, 4</c:v>
                  </c:pt>
                  <c:pt idx="303">
                    <c:v>-1, 4</c:v>
                  </c:pt>
                  <c:pt idx="304">
                    <c:v>0, 4</c:v>
                  </c:pt>
                  <c:pt idx="305">
                    <c:v>1, 4</c:v>
                  </c:pt>
                  <c:pt idx="306">
                    <c:v>2, 4</c:v>
                  </c:pt>
                  <c:pt idx="307">
                    <c:v>3, 4</c:v>
                  </c:pt>
                  <c:pt idx="308">
                    <c:v>4, 4</c:v>
                  </c:pt>
                  <c:pt idx="309">
                    <c:v>5, 4</c:v>
                  </c:pt>
                  <c:pt idx="310">
                    <c:v>6, 4</c:v>
                  </c:pt>
                  <c:pt idx="311">
                    <c:v>7, 4</c:v>
                  </c:pt>
                  <c:pt idx="312">
                    <c:v>8, 4</c:v>
                  </c:pt>
                  <c:pt idx="313">
                    <c:v>9, 4</c:v>
                  </c:pt>
                  <c:pt idx="314">
                    <c:v>10, 4</c:v>
                  </c:pt>
                  <c:pt idx="315">
                    <c:v>-10, 5</c:v>
                  </c:pt>
                  <c:pt idx="316">
                    <c:v>-9, 5</c:v>
                  </c:pt>
                  <c:pt idx="317">
                    <c:v>-8, 5</c:v>
                  </c:pt>
                  <c:pt idx="318">
                    <c:v>-7, 5</c:v>
                  </c:pt>
                  <c:pt idx="319">
                    <c:v>-6, 5</c:v>
                  </c:pt>
                  <c:pt idx="320">
                    <c:v>-5, 5</c:v>
                  </c:pt>
                  <c:pt idx="321">
                    <c:v>-4, 5</c:v>
                  </c:pt>
                  <c:pt idx="322">
                    <c:v>-3, 5</c:v>
                  </c:pt>
                  <c:pt idx="323">
                    <c:v>-2, 5</c:v>
                  </c:pt>
                  <c:pt idx="324">
                    <c:v>-1, 5</c:v>
                  </c:pt>
                  <c:pt idx="325">
                    <c:v>0, 5</c:v>
                  </c:pt>
                  <c:pt idx="326">
                    <c:v>1, 5</c:v>
                  </c:pt>
                  <c:pt idx="327">
                    <c:v>2, 5</c:v>
                  </c:pt>
                  <c:pt idx="328">
                    <c:v>3, 5</c:v>
                  </c:pt>
                  <c:pt idx="329">
                    <c:v>4, 5</c:v>
                  </c:pt>
                  <c:pt idx="330">
                    <c:v>5, 5</c:v>
                  </c:pt>
                  <c:pt idx="331">
                    <c:v>6, 5</c:v>
                  </c:pt>
                  <c:pt idx="332">
                    <c:v>7, 5</c:v>
                  </c:pt>
                  <c:pt idx="333">
                    <c:v>8, 5</c:v>
                  </c:pt>
                  <c:pt idx="334">
                    <c:v>9, 5</c:v>
                  </c:pt>
                  <c:pt idx="335">
                    <c:v>10, 5</c:v>
                  </c:pt>
                  <c:pt idx="336">
                    <c:v>-10, 6</c:v>
                  </c:pt>
                  <c:pt idx="337">
                    <c:v>-9, 6</c:v>
                  </c:pt>
                  <c:pt idx="338">
                    <c:v>-8, 6</c:v>
                  </c:pt>
                  <c:pt idx="339">
                    <c:v>-7, 6</c:v>
                  </c:pt>
                  <c:pt idx="340">
                    <c:v>-6, 6</c:v>
                  </c:pt>
                  <c:pt idx="341">
                    <c:v>-5, 6</c:v>
                  </c:pt>
                  <c:pt idx="342">
                    <c:v>-4, 6</c:v>
                  </c:pt>
                  <c:pt idx="343">
                    <c:v>-3, 6</c:v>
                  </c:pt>
                  <c:pt idx="344">
                    <c:v>-2, 6</c:v>
                  </c:pt>
                  <c:pt idx="345">
                    <c:v>-1, 6</c:v>
                  </c:pt>
                  <c:pt idx="346">
                    <c:v>0, 6</c:v>
                  </c:pt>
                  <c:pt idx="347">
                    <c:v>1, 6</c:v>
                  </c:pt>
                  <c:pt idx="348">
                    <c:v>2, 6</c:v>
                  </c:pt>
                  <c:pt idx="349">
                    <c:v>3, 6</c:v>
                  </c:pt>
                  <c:pt idx="350">
                    <c:v>4, 6</c:v>
                  </c:pt>
                  <c:pt idx="351">
                    <c:v>5, 6</c:v>
                  </c:pt>
                  <c:pt idx="352">
                    <c:v>6, 6</c:v>
                  </c:pt>
                  <c:pt idx="353">
                    <c:v>7, 6</c:v>
                  </c:pt>
                  <c:pt idx="354">
                    <c:v>8, 6</c:v>
                  </c:pt>
                  <c:pt idx="355">
                    <c:v>9, 6</c:v>
                  </c:pt>
                  <c:pt idx="356">
                    <c:v>10, 6</c:v>
                  </c:pt>
                  <c:pt idx="357">
                    <c:v>-10, 7</c:v>
                  </c:pt>
                  <c:pt idx="358">
                    <c:v>-9, 7</c:v>
                  </c:pt>
                  <c:pt idx="359">
                    <c:v>-8, 7</c:v>
                  </c:pt>
                  <c:pt idx="360">
                    <c:v>-7, 7</c:v>
                  </c:pt>
                  <c:pt idx="361">
                    <c:v>-6, 7</c:v>
                  </c:pt>
                  <c:pt idx="362">
                    <c:v>-5, 7</c:v>
                  </c:pt>
                  <c:pt idx="363">
                    <c:v>-4, 7</c:v>
                  </c:pt>
                  <c:pt idx="364">
                    <c:v>-3, 7</c:v>
                  </c:pt>
                  <c:pt idx="365">
                    <c:v>-2, 7</c:v>
                  </c:pt>
                  <c:pt idx="366">
                    <c:v>-1, 7</c:v>
                  </c:pt>
                  <c:pt idx="367">
                    <c:v>0, 7</c:v>
                  </c:pt>
                  <c:pt idx="368">
                    <c:v>1, 7</c:v>
                  </c:pt>
                  <c:pt idx="369">
                    <c:v>2, 7</c:v>
                  </c:pt>
                  <c:pt idx="370">
                    <c:v>3, 7</c:v>
                  </c:pt>
                  <c:pt idx="371">
                    <c:v>4, 7</c:v>
                  </c:pt>
                  <c:pt idx="372">
                    <c:v>5, 7</c:v>
                  </c:pt>
                  <c:pt idx="373">
                    <c:v>6, 7</c:v>
                  </c:pt>
                  <c:pt idx="374">
                    <c:v>7, 7</c:v>
                  </c:pt>
                  <c:pt idx="375">
                    <c:v>8, 7</c:v>
                  </c:pt>
                  <c:pt idx="376">
                    <c:v>9, 7</c:v>
                  </c:pt>
                  <c:pt idx="377">
                    <c:v>10, 7</c:v>
                  </c:pt>
                  <c:pt idx="378">
                    <c:v>-10, 8</c:v>
                  </c:pt>
                  <c:pt idx="379">
                    <c:v>-9, 8</c:v>
                  </c:pt>
                  <c:pt idx="380">
                    <c:v>-8, 8</c:v>
                  </c:pt>
                  <c:pt idx="381">
                    <c:v>-7, 8</c:v>
                  </c:pt>
                  <c:pt idx="382">
                    <c:v>-6, 8</c:v>
                  </c:pt>
                  <c:pt idx="383">
                    <c:v>-5, 8</c:v>
                  </c:pt>
                  <c:pt idx="384">
                    <c:v>-4, 8</c:v>
                  </c:pt>
                  <c:pt idx="385">
                    <c:v>-3, 8</c:v>
                  </c:pt>
                  <c:pt idx="386">
                    <c:v>-2, 8</c:v>
                  </c:pt>
                  <c:pt idx="387">
                    <c:v>-1, 8</c:v>
                  </c:pt>
                  <c:pt idx="388">
                    <c:v>0, 8</c:v>
                  </c:pt>
                  <c:pt idx="389">
                    <c:v>1, 8</c:v>
                  </c:pt>
                  <c:pt idx="390">
                    <c:v>2, 8</c:v>
                  </c:pt>
                  <c:pt idx="391">
                    <c:v>3, 8</c:v>
                  </c:pt>
                  <c:pt idx="392">
                    <c:v>4, 8</c:v>
                  </c:pt>
                  <c:pt idx="393">
                    <c:v>5, 8</c:v>
                  </c:pt>
                  <c:pt idx="394">
                    <c:v>6, 8</c:v>
                  </c:pt>
                  <c:pt idx="395">
                    <c:v>7, 8</c:v>
                  </c:pt>
                  <c:pt idx="396">
                    <c:v>8, 8</c:v>
                  </c:pt>
                  <c:pt idx="397">
                    <c:v>9, 8</c:v>
                  </c:pt>
                  <c:pt idx="398">
                    <c:v>10, 8</c:v>
                  </c:pt>
                  <c:pt idx="399">
                    <c:v>-10, 9</c:v>
                  </c:pt>
                  <c:pt idx="400">
                    <c:v>-9, 9</c:v>
                  </c:pt>
                  <c:pt idx="401">
                    <c:v>-8, 9</c:v>
                  </c:pt>
                  <c:pt idx="402">
                    <c:v>-7, 9</c:v>
                  </c:pt>
                  <c:pt idx="403">
                    <c:v>-6, 9</c:v>
                  </c:pt>
                  <c:pt idx="404">
                    <c:v>-5, 9</c:v>
                  </c:pt>
                  <c:pt idx="405">
                    <c:v>-4, 9</c:v>
                  </c:pt>
                  <c:pt idx="406">
                    <c:v>-3, 9</c:v>
                  </c:pt>
                  <c:pt idx="407">
                    <c:v>-2, 9</c:v>
                  </c:pt>
                  <c:pt idx="408">
                    <c:v>-1, 9</c:v>
                  </c:pt>
                  <c:pt idx="409">
                    <c:v>0, 9</c:v>
                  </c:pt>
                  <c:pt idx="410">
                    <c:v>1, 9</c:v>
                  </c:pt>
                  <c:pt idx="411">
                    <c:v>2, 9</c:v>
                  </c:pt>
                  <c:pt idx="412">
                    <c:v>3, 9</c:v>
                  </c:pt>
                  <c:pt idx="413">
                    <c:v>4, 9</c:v>
                  </c:pt>
                  <c:pt idx="414">
                    <c:v>5, 9</c:v>
                  </c:pt>
                  <c:pt idx="415">
                    <c:v>6, 9</c:v>
                  </c:pt>
                  <c:pt idx="416">
                    <c:v>7, 9</c:v>
                  </c:pt>
                  <c:pt idx="417">
                    <c:v>8, 9</c:v>
                  </c:pt>
                  <c:pt idx="418">
                    <c:v>9, 9</c:v>
                  </c:pt>
                  <c:pt idx="419">
                    <c:v>10, 9</c:v>
                  </c:pt>
                  <c:pt idx="420">
                    <c:v>-10, 10</c:v>
                  </c:pt>
                  <c:pt idx="421">
                    <c:v>-9, 10</c:v>
                  </c:pt>
                  <c:pt idx="422">
                    <c:v>-8, 10</c:v>
                  </c:pt>
                  <c:pt idx="423">
                    <c:v>-7, 10</c:v>
                  </c:pt>
                  <c:pt idx="424">
                    <c:v>-6, 10</c:v>
                  </c:pt>
                  <c:pt idx="425">
                    <c:v>-5, 10</c:v>
                  </c:pt>
                  <c:pt idx="426">
                    <c:v>-4, 10</c:v>
                  </c:pt>
                  <c:pt idx="427">
                    <c:v>-3, 10</c:v>
                  </c:pt>
                  <c:pt idx="428">
                    <c:v>-2, 10</c:v>
                  </c:pt>
                  <c:pt idx="429">
                    <c:v>-1, 10</c:v>
                  </c:pt>
                  <c:pt idx="430">
                    <c:v>0, 10</c:v>
                  </c:pt>
                  <c:pt idx="431">
                    <c:v>1, 10</c:v>
                  </c:pt>
                  <c:pt idx="432">
                    <c:v>2, 10</c:v>
                  </c:pt>
                  <c:pt idx="433">
                    <c:v>3, 10</c:v>
                  </c:pt>
                  <c:pt idx="434">
                    <c:v>4, 10</c:v>
                  </c:pt>
                  <c:pt idx="435">
                    <c:v>5, 10</c:v>
                  </c:pt>
                  <c:pt idx="436">
                    <c:v>6, 10</c:v>
                  </c:pt>
                  <c:pt idx="437">
                    <c:v>7, 10</c:v>
                  </c:pt>
                  <c:pt idx="438">
                    <c:v>8, 10</c:v>
                  </c:pt>
                  <c:pt idx="439">
                    <c:v>9, 10</c:v>
                  </c:pt>
                  <c:pt idx="440">
                    <c:v>10, 10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289-940E-41A3-9BD0-604611080B4B}"/>
            </c:ext>
          </c:extLst>
        </c:ser>
        <c:ser>
          <c:idx val="1"/>
          <c:order val="1"/>
          <c:tx>
            <c:strRef>
              <c:f>Paths!$C$1</c:f>
              <c:strCache>
                <c:ptCount val="1"/>
                <c:pt idx="0">
                  <c:v>Paths</c:v>
                </c:pt>
              </c:strCache>
            </c:strRef>
          </c:tx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Paths!$A$2:$A$400</c:f>
              <c:numCache>
                <c:formatCode>General</c:formatCode>
                <c:ptCount val="399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0</c:v>
                </c:pt>
                <c:pt idx="10">
                  <c:v>0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0</c:v>
                </c:pt>
                <c:pt idx="31">
                  <c:v>0</c:v>
                </c:pt>
                <c:pt idx="33">
                  <c:v>2</c:v>
                </c:pt>
                <c:pt idx="34">
                  <c:v>2</c:v>
                </c:pt>
                <c:pt idx="36">
                  <c:v>2</c:v>
                </c:pt>
                <c:pt idx="37">
                  <c:v>2</c:v>
                </c:pt>
                <c:pt idx="39">
                  <c:v>2</c:v>
                </c:pt>
                <c:pt idx="40">
                  <c:v>2</c:v>
                </c:pt>
                <c:pt idx="42">
                  <c:v>2</c:v>
                </c:pt>
                <c:pt idx="43">
                  <c:v>2</c:v>
                </c:pt>
                <c:pt idx="45">
                  <c:v>2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1">
                  <c:v>0</c:v>
                </c:pt>
                <c:pt idx="52">
                  <c:v>0</c:v>
                </c:pt>
                <c:pt idx="54">
                  <c:v>3</c:v>
                </c:pt>
                <c:pt idx="55">
                  <c:v>3</c:v>
                </c:pt>
                <c:pt idx="57">
                  <c:v>3</c:v>
                </c:pt>
                <c:pt idx="58">
                  <c:v>3</c:v>
                </c:pt>
                <c:pt idx="60">
                  <c:v>3</c:v>
                </c:pt>
                <c:pt idx="61">
                  <c:v>3</c:v>
                </c:pt>
                <c:pt idx="63">
                  <c:v>3</c:v>
                </c:pt>
                <c:pt idx="64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0">
                  <c:v>3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10</c:v>
                </c:pt>
                <c:pt idx="81">
                  <c:v>10</c:v>
                </c:pt>
                <c:pt idx="82">
                  <c:v>10</c:v>
                </c:pt>
                <c:pt idx="84">
                  <c:v>10</c:v>
                </c:pt>
                <c:pt idx="85">
                  <c:v>-10</c:v>
                </c:pt>
                <c:pt idx="87">
                  <c:v>-10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3</c:v>
                </c:pt>
                <c:pt idx="122">
                  <c:v>3</c:v>
                </c:pt>
                <c:pt idx="123">
                  <c:v>1</c:v>
                </c:pt>
                <c:pt idx="124">
                  <c:v>1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</c:numCache>
            </c:numRef>
          </c:xVal>
          <c:yVal>
            <c:numRef>
              <c:f>Paths!$B$2:$B$400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1</c:v>
                </c:pt>
                <c:pt idx="15">
                  <c:v>1</c:v>
                </c:pt>
                <c:pt idx="16">
                  <c:v>2</c:v>
                </c:pt>
                <c:pt idx="18">
                  <c:v>2</c:v>
                </c:pt>
                <c:pt idx="19">
                  <c:v>3</c:v>
                </c:pt>
                <c:pt idx="21">
                  <c:v>3</c:v>
                </c:pt>
                <c:pt idx="22">
                  <c:v>4</c:v>
                </c:pt>
                <c:pt idx="24">
                  <c:v>4</c:v>
                </c:pt>
                <c:pt idx="25">
                  <c:v>5</c:v>
                </c:pt>
                <c:pt idx="27">
                  <c:v>5</c:v>
                </c:pt>
                <c:pt idx="28">
                  <c:v>6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-1</c:v>
                </c:pt>
                <c:pt idx="36">
                  <c:v>-1</c:v>
                </c:pt>
                <c:pt idx="37">
                  <c:v>-2</c:v>
                </c:pt>
                <c:pt idx="39">
                  <c:v>-2</c:v>
                </c:pt>
                <c:pt idx="40">
                  <c:v>-3</c:v>
                </c:pt>
                <c:pt idx="42">
                  <c:v>-3</c:v>
                </c:pt>
                <c:pt idx="43">
                  <c:v>-4</c:v>
                </c:pt>
                <c:pt idx="45">
                  <c:v>-4</c:v>
                </c:pt>
                <c:pt idx="46">
                  <c:v>-5</c:v>
                </c:pt>
                <c:pt idx="48">
                  <c:v>-5</c:v>
                </c:pt>
                <c:pt idx="49">
                  <c:v>-6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1</c:v>
                </c:pt>
                <c:pt idx="57">
                  <c:v>1</c:v>
                </c:pt>
                <c:pt idx="58">
                  <c:v>2</c:v>
                </c:pt>
                <c:pt idx="60">
                  <c:v>2</c:v>
                </c:pt>
                <c:pt idx="61">
                  <c:v>3</c:v>
                </c:pt>
                <c:pt idx="63">
                  <c:v>3</c:v>
                </c:pt>
                <c:pt idx="64">
                  <c:v>4</c:v>
                </c:pt>
                <c:pt idx="66">
                  <c:v>4</c:v>
                </c:pt>
                <c:pt idx="67">
                  <c:v>5</c:v>
                </c:pt>
                <c:pt idx="69">
                  <c:v>5</c:v>
                </c:pt>
                <c:pt idx="70">
                  <c:v>6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-10</c:v>
                </c:pt>
                <c:pt idx="81">
                  <c:v>-10</c:v>
                </c:pt>
                <c:pt idx="82">
                  <c:v>10</c:v>
                </c:pt>
                <c:pt idx="84">
                  <c:v>10</c:v>
                </c:pt>
                <c:pt idx="85">
                  <c:v>10</c:v>
                </c:pt>
                <c:pt idx="87">
                  <c:v>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6</c:v>
                </c:pt>
                <c:pt idx="122">
                  <c:v>7</c:v>
                </c:pt>
                <c:pt idx="123">
                  <c:v>7</c:v>
                </c:pt>
                <c:pt idx="124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0-940E-41A3-9BD0-604611080B4B}"/>
            </c:ext>
          </c:extLst>
        </c:ser>
        <c:ser>
          <c:idx val="0"/>
          <c:order val="2"/>
          <c:tx>
            <c:strRef>
              <c:f>Spots!$C$1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gradFill>
                <a:gsLst>
                  <a:gs pos="0">
                    <a:srgbClr val="4F81BD">
                      <a:lumMod val="5000"/>
                      <a:lumOff val="95000"/>
                    </a:srgbClr>
                  </a:gs>
                  <a:gs pos="46000">
                    <a:srgbClr val="4F81BD">
                      <a:lumMod val="45000"/>
                      <a:lumOff val="55000"/>
                    </a:srgbClr>
                  </a:gs>
                  <a:gs pos="100000">
                    <a:schemeClr val="accent1">
                      <a:lumMod val="75000"/>
                    </a:schemeClr>
                  </a:gs>
                </a:gsLst>
                <a:lin ang="5400000" scaled="1"/>
              </a:gradFill>
              <a:ln w="3175">
                <a:solidFill>
                  <a:schemeClr val="accent1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1C2-940E-41A3-9BD0-604611080B4B}"/>
              </c:ext>
            </c:extLst>
          </c:dPt>
          <c:dLbls>
            <c:dLbl>
              <c:idx val="0"/>
              <c:layout>
                <c:manualLayout>
                  <c:x val="-4.1369260716376088E-2"/>
                  <c:y val="-2.2029921391318923E-2"/>
                </c:manualLayout>
              </c:layout>
              <c:tx>
                <c:rich>
                  <a:bodyPr rot="0" vertOverflow="overflow" horzOverflow="overflow" vert="horz" wrap="square" lIns="36000" tIns="36000" rIns="36000" bIns="36000" anchor="ctr" anchorCtr="0">
                    <a:noAutofit/>
                  </a:bodyPr>
                  <a:lstStyle/>
                  <a:p>
                    <a:pPr>
                      <a:defRPr sz="700">
                        <a:solidFill>
                          <a:sysClr val="windowText" lastClr="000000"/>
                        </a:solidFill>
                      </a:defRPr>
                    </a:pPr>
                    <a:fld id="{ABE970CE-011C-4ED0-A2C1-F248E7629BCA}" type="CELLRANGE">
                      <a:rPr lang="en-US"/>
                      <a:pPr>
                        <a:defRPr sz="700">
                          <a:solidFill>
                            <a:sysClr val="windowText" lastClr="000000"/>
                          </a:solidFill>
                        </a:defRPr>
                      </a:pPr>
                      <a:t>[CELLRANGE]</a:t>
                    </a:fld>
                    <a:endParaRPr lang="en-IN"/>
                  </a:p>
                </c:rich>
              </c:tx>
              <c:spPr>
                <a:gradFill>
                  <a:gsLst>
                    <a:gs pos="0">
                      <a:srgbClr val="4F81BD">
                        <a:lumMod val="5000"/>
                        <a:lumOff val="95000"/>
                        <a:alpha val="30000"/>
                      </a:srgbClr>
                    </a:gs>
                    <a:gs pos="97000">
                      <a:srgbClr val="00B0F0"/>
                    </a:gs>
                    <a:gs pos="50000">
                      <a:srgbClr val="ECF1F8"/>
                    </a:gs>
                  </a:gsLst>
                  <a:lin ang="5400000" scaled="1"/>
                </a:gradFill>
                <a:ln w="6350">
                  <a:solidFill>
                    <a:srgbClr val="00B0F0"/>
                  </a:solidFill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oundRectCallout">
                      <a:avLst/>
                    </a:prstGeom>
                  </c15:spPr>
                  <c15:layout>
                    <c:manualLayout>
                      <c:w val="3.496047280320267E-2"/>
                      <c:h val="2.062264844783565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C2-940E-41A3-9BD0-604611080B4B}"/>
                </c:ext>
              </c:extLst>
            </c:dLbl>
            <c:dLbl>
              <c:idx val="1"/>
              <c:layout>
                <c:manualLayout>
                  <c:x val="-4.0498287057951304E-2"/>
                  <c:y val="-2.1214557470474217E-2"/>
                </c:manualLayout>
              </c:layout>
              <c:tx>
                <c:rich>
                  <a:bodyPr/>
                  <a:lstStyle/>
                  <a:p>
                    <a:fld id="{01759D52-CC33-4562-9429-5292A3F22118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C3-940E-41A3-9BD0-604611080B4B}"/>
                </c:ext>
              </c:extLst>
            </c:dLbl>
            <c:dLbl>
              <c:idx val="2"/>
              <c:layout>
                <c:manualLayout>
                  <c:x val="-3.4403306580179066E-2"/>
                  <c:y val="-2.11276811635428E-2"/>
                </c:manualLayout>
              </c:layout>
              <c:tx>
                <c:rich>
                  <a:bodyPr/>
                  <a:lstStyle/>
                  <a:p>
                    <a:fld id="{EBDB25D6-11C1-422E-8C34-864A0AC8E336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C4-940E-41A3-9BD0-604611080B4B}"/>
                </c:ext>
              </c:extLst>
            </c:dLbl>
            <c:dLbl>
              <c:idx val="3"/>
              <c:layout>
                <c:manualLayout>
                  <c:x val="-1.1812127831569211E-2"/>
                  <c:y val="-2.121630321186636E-2"/>
                </c:manualLayout>
              </c:layout>
              <c:tx>
                <c:rich>
                  <a:bodyPr/>
                  <a:lstStyle/>
                  <a:p>
                    <a:fld id="{D52BE86F-4FA5-4A26-A171-20486E1E0B68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C5-940E-41A3-9BD0-604611080B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940E-41A3-9BD0-604611080B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E703F9-D71B-4FDD-A3F0-49800C41C67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940E-41A3-9BD0-604611080B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CD2959-1ED7-4062-B0C9-1BB97CD9B81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940E-41A3-9BD0-604611080B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BC45C3-4CF1-479C-B17A-7BB66C90AA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940E-41A3-9BD0-604611080B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CE8E6D-1146-49C8-A24E-B6F6D8E3E0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940E-41A3-9BD0-604611080B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E22895-A9B6-4E43-8635-EF157B8868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940E-41A3-9BD0-604611080B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EE57E8-93CE-41EB-9A45-3FCEBFBCF9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940E-41A3-9BD0-604611080B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940E-41A3-9BD0-604611080B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6BD21D-6430-4FA7-B0BD-A538B0CCBA8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940E-41A3-9BD0-604611080B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D0E7E0-8C86-4EB0-B6AC-4147CD79FC0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940E-41A3-9BD0-604611080B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BAA422-BA52-41FB-8D5E-C5BA6C638D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940E-41A3-9BD0-604611080B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4C5230-BC42-40DE-83D0-F71D2EBE13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940E-41A3-9BD0-604611080B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54BF9CF-C00F-433A-9F6A-C85D5269EF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940E-41A3-9BD0-604611080B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F1D286-64BD-40B4-B755-D1D3AE7B28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940E-41A3-9BD0-604611080B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940E-41A3-9BD0-604611080B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4957B8-FA23-45AC-A5C0-6DE1EB26FB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940E-41A3-9BD0-604611080B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49623A-2431-4312-A4D5-C36E943280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940E-41A3-9BD0-604611080B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32993A-9664-4D70-A96B-9B44D35A84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940E-41A3-9BD0-604611080B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780077-1B4F-448C-8883-2BDB282807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940E-41A3-9BD0-604611080B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81E050-3D87-4CB0-B816-2BE31D72421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940E-41A3-9BD0-604611080B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11EADD9-106B-4445-8E10-2BC67C3FDE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940E-41A3-9BD0-604611080B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940E-41A3-9BD0-604611080B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F0A47E-E07D-4102-A89D-7F52E54B4E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940E-41A3-9BD0-604611080B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4DB6986-664A-4A34-B351-BE4B25176C4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940E-41A3-9BD0-604611080B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940E-41A3-9BD0-604611080B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B7D36C-4B4B-42B5-8785-E3233E7903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940E-41A3-9BD0-604611080B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6932FDB-7D42-4D47-9859-11295F110E6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940E-41A3-9BD0-604611080B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289B5F-BAEE-4640-83E3-E587E3DD7B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940E-41A3-9BD0-604611080B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A8BA81-AB71-40D6-AA18-3755B3F1CE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940E-41A3-9BD0-604611080B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940E-41A3-9BD0-604611080B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940E-41A3-9BD0-604611080B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940E-41A3-9BD0-604611080B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940E-41A3-9BD0-604611080B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940E-41A3-9BD0-604611080B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940E-41A3-9BD0-604611080B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940E-41A3-9BD0-604611080B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940E-41A3-9BD0-604611080B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940E-41A3-9BD0-604611080B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940E-41A3-9BD0-604611080B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940E-41A3-9BD0-604611080B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940E-41A3-9BD0-604611080B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940E-41A3-9BD0-604611080B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940E-41A3-9BD0-604611080B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940E-41A3-9BD0-604611080B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940E-41A3-9BD0-604611080B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940E-41A3-9BD0-604611080B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940E-41A3-9BD0-604611080B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940E-41A3-9BD0-604611080B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940E-41A3-9BD0-604611080B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940E-41A3-9BD0-604611080B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940E-41A3-9BD0-604611080B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940E-41A3-9BD0-604611080B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940E-41A3-9BD0-604611080B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940E-41A3-9BD0-604611080B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940E-41A3-9BD0-604611080B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940E-41A3-9BD0-604611080B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940E-41A3-9BD0-604611080B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940E-41A3-9BD0-604611080B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940E-41A3-9BD0-604611080B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940E-41A3-9BD0-604611080B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940E-41A3-9BD0-604611080B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940E-41A3-9BD0-604611080B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940E-41A3-9BD0-604611080B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940E-41A3-9BD0-604611080B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940E-41A3-9BD0-604611080B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940E-41A3-9BD0-604611080B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940E-41A3-9BD0-604611080B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940E-41A3-9BD0-604611080B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940E-41A3-9BD0-604611080B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940E-41A3-9BD0-604611080B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940E-41A3-9BD0-604611080B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940E-41A3-9BD0-604611080B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940E-41A3-9BD0-604611080B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940E-41A3-9BD0-604611080B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940E-41A3-9BD0-604611080B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940E-41A3-9BD0-604611080B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940E-41A3-9BD0-604611080B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940E-41A3-9BD0-604611080B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940E-41A3-9BD0-604611080B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940E-41A3-9BD0-604611080B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940E-41A3-9BD0-604611080B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940E-41A3-9BD0-604611080B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940E-41A3-9BD0-604611080B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940E-41A3-9BD0-604611080B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940E-41A3-9BD0-604611080B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940E-41A3-9BD0-604611080B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940E-41A3-9BD0-604611080B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940E-41A3-9BD0-604611080B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940E-41A3-9BD0-604611080B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940E-41A3-9BD0-604611080B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940E-41A3-9BD0-604611080B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940E-41A3-9BD0-604611080B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940E-41A3-9BD0-604611080B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940E-41A3-9BD0-604611080B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940E-41A3-9BD0-604611080B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940E-41A3-9BD0-604611080B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940E-41A3-9BD0-604611080B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940E-41A3-9BD0-604611080B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940E-41A3-9BD0-604611080B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940E-41A3-9BD0-604611080B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940E-41A3-9BD0-604611080B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940E-41A3-9BD0-604611080B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940E-41A3-9BD0-604611080B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940E-41A3-9BD0-604611080B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940E-41A3-9BD0-604611080B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940E-41A3-9BD0-604611080B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940E-41A3-9BD0-604611080B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940E-41A3-9BD0-604611080B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940E-41A3-9BD0-604611080B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940E-41A3-9BD0-604611080B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940E-41A3-9BD0-604611080B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940E-41A3-9BD0-604611080B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940E-41A3-9BD0-604611080B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940E-41A3-9BD0-604611080B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940E-41A3-9BD0-604611080B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940E-41A3-9BD0-604611080B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940E-41A3-9BD0-604611080B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940E-41A3-9BD0-604611080B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940E-41A3-9BD0-604611080B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940E-41A3-9BD0-604611080B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940E-41A3-9BD0-604611080B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940E-41A3-9BD0-604611080B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940E-41A3-9BD0-604611080B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940E-41A3-9BD0-604611080B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940E-41A3-9BD0-604611080B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940E-41A3-9BD0-604611080B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940E-41A3-9BD0-604611080B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940E-41A3-9BD0-604611080B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940E-41A3-9BD0-604611080B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940E-41A3-9BD0-604611080B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940E-41A3-9BD0-604611080B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940E-41A3-9BD0-604611080B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940E-41A3-9BD0-604611080B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940E-41A3-9BD0-604611080B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940E-41A3-9BD0-604611080B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940E-41A3-9BD0-604611080B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940E-41A3-9BD0-604611080B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940E-41A3-9BD0-604611080B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940E-41A3-9BD0-604611080B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940E-41A3-9BD0-604611080B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940E-41A3-9BD0-604611080B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940E-41A3-9BD0-604611080B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940E-41A3-9BD0-604611080B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940E-41A3-9BD0-604611080B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940E-41A3-9BD0-604611080B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940E-41A3-9BD0-604611080B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940E-41A3-9BD0-604611080B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940E-41A3-9BD0-604611080B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940E-41A3-9BD0-604611080B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940E-41A3-9BD0-604611080B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940E-41A3-9BD0-604611080B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940E-41A3-9BD0-604611080B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940E-41A3-9BD0-604611080B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940E-41A3-9BD0-604611080B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940E-41A3-9BD0-604611080B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940E-41A3-9BD0-604611080B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940E-41A3-9BD0-604611080B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940E-41A3-9BD0-604611080B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940E-41A3-9BD0-604611080B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940E-41A3-9BD0-604611080B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940E-41A3-9BD0-604611080B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940E-41A3-9BD0-604611080B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940E-41A3-9BD0-604611080B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940E-41A3-9BD0-604611080B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940E-41A3-9BD0-604611080B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940E-41A3-9BD0-604611080B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940E-41A3-9BD0-604611080B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940E-41A3-9BD0-604611080B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940E-41A3-9BD0-604611080B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940E-41A3-9BD0-604611080B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940E-41A3-9BD0-604611080B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940E-41A3-9BD0-604611080B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940E-41A3-9BD0-604611080B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940E-41A3-9BD0-604611080B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940E-41A3-9BD0-604611080B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940E-41A3-9BD0-604611080B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940E-41A3-9BD0-604611080B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940E-41A3-9BD0-604611080B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940E-41A3-9BD0-604611080B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940E-41A3-9BD0-604611080B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940E-41A3-9BD0-604611080B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940E-41A3-9BD0-604611080B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940E-41A3-9BD0-604611080B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940E-41A3-9BD0-604611080B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940E-41A3-9BD0-604611080B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940E-41A3-9BD0-604611080B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940E-41A3-9BD0-604611080B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940E-41A3-9BD0-604611080B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940E-41A3-9BD0-604611080B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940E-41A3-9BD0-604611080B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940E-41A3-9BD0-604611080B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940E-41A3-9BD0-604611080B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940E-41A3-9BD0-604611080B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940E-41A3-9BD0-604611080B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07-4AC6-B8EC-3E894AE8E3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07-4AC6-B8EC-3E894AE8E3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07-4AC6-B8EC-3E894AE8E3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07-4AC6-B8EC-3E894AE8E3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07-4AC6-B8EC-3E894AE8E3F8}"/>
                </c:ext>
              </c:extLst>
            </c:dLbl>
            <c:spPr>
              <a:gradFill>
                <a:gsLst>
                  <a:gs pos="0">
                    <a:srgbClr val="4F81BD">
                      <a:lumMod val="5000"/>
                      <a:lumOff val="95000"/>
                      <a:alpha val="30000"/>
                    </a:srgbClr>
                  </a:gs>
                  <a:gs pos="97000">
                    <a:srgbClr val="00B0F0"/>
                  </a:gs>
                  <a:gs pos="50000">
                    <a:srgbClr val="ECF1F8"/>
                  </a:gs>
                </a:gsLst>
                <a:lin ang="5400000" scaled="1"/>
              </a:gradFill>
              <a:ln w="6350">
                <a:solidFill>
                  <a:srgbClr val="00B0F0"/>
                </a:solidFill>
              </a:ln>
              <a:effectLst/>
            </c:spPr>
            <c:txPr>
              <a:bodyPr rot="0" vertOverflow="overflow" horzOverflow="overflow" vert="horz" wrap="square" lIns="36000" tIns="36000" rIns="36000" bIns="36000" anchor="ctr" anchorCtr="0">
                <a:spAutoFit/>
              </a:bodyPr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Spots!$B$3:$B$205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6">
                  <c:v>2</c:v>
                </c:pt>
                <c:pt idx="27">
                  <c:v>2</c:v>
                </c:pt>
                <c:pt idx="29">
                  <c:v>-10</c:v>
                </c:pt>
                <c:pt idx="30">
                  <c:v>10</c:v>
                </c:pt>
                <c:pt idx="31">
                  <c:v>10</c:v>
                </c:pt>
                <c:pt idx="32">
                  <c:v>-10</c:v>
                </c:pt>
              </c:numCache>
            </c:numRef>
          </c:xVal>
          <c:yVal>
            <c:numRef>
              <c:f>Spots!$C$3:$C$205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2">
                  <c:v>-1</c:v>
                </c:pt>
                <c:pt idx="13">
                  <c:v>-2</c:v>
                </c:pt>
                <c:pt idx="14">
                  <c:v>-3</c:v>
                </c:pt>
                <c:pt idx="15">
                  <c:v>-4</c:v>
                </c:pt>
                <c:pt idx="16">
                  <c:v>-5</c:v>
                </c:pt>
                <c:pt idx="17">
                  <c:v>-6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6">
                  <c:v>8</c:v>
                </c:pt>
                <c:pt idx="27">
                  <c:v>-8</c:v>
                </c:pt>
                <c:pt idx="29">
                  <c:v>-10</c:v>
                </c:pt>
                <c:pt idx="30">
                  <c:v>-10</c:v>
                </c:pt>
                <c:pt idx="31">
                  <c:v>10</c:v>
                </c:pt>
                <c:pt idx="32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Spots!$A$3:$A$127</c15:f>
                <c15:dlblRangeCache>
                  <c:ptCount val="125"/>
                  <c:pt idx="0">
                    <c:v>Intro</c:v>
                  </c:pt>
                  <c:pt idx="1">
                    <c:v>Features</c:v>
                  </c:pt>
                  <c:pt idx="2">
                    <c:v>Applications</c:v>
                  </c:pt>
                  <c:pt idx="3">
                    <c:v>Benefits</c:v>
                  </c:pt>
                  <c:pt idx="5">
                    <c:v>Feature1</c:v>
                  </c:pt>
                  <c:pt idx="6">
                    <c:v>Feature2</c:v>
                  </c:pt>
                  <c:pt idx="7">
                    <c:v>Feature3</c:v>
                  </c:pt>
                  <c:pt idx="8">
                    <c:v>Feature4</c:v>
                  </c:pt>
                  <c:pt idx="9">
                    <c:v>Feature5</c:v>
                  </c:pt>
                  <c:pt idx="10">
                    <c:v>Feature6</c:v>
                  </c:pt>
                  <c:pt idx="12">
                    <c:v>Application1</c:v>
                  </c:pt>
                  <c:pt idx="13">
                    <c:v>Application2</c:v>
                  </c:pt>
                  <c:pt idx="14">
                    <c:v>Application3</c:v>
                  </c:pt>
                  <c:pt idx="15">
                    <c:v>Application4</c:v>
                  </c:pt>
                  <c:pt idx="16">
                    <c:v>Application5</c:v>
                  </c:pt>
                  <c:pt idx="17">
                    <c:v>Application6</c:v>
                  </c:pt>
                  <c:pt idx="19">
                    <c:v>Benefit1</c:v>
                  </c:pt>
                  <c:pt idx="20">
                    <c:v>Benefit2</c:v>
                  </c:pt>
                  <c:pt idx="21">
                    <c:v>Benefit3</c:v>
                  </c:pt>
                  <c:pt idx="22">
                    <c:v>Benefit4</c:v>
                  </c:pt>
                  <c:pt idx="23">
                    <c:v>Benefit5</c:v>
                  </c:pt>
                  <c:pt idx="24">
                    <c:v>Benefit6</c:v>
                  </c:pt>
                  <c:pt idx="26">
                    <c:v>Teleport1</c:v>
                  </c:pt>
                  <c:pt idx="27">
                    <c:v>Teleport2</c:v>
                  </c:pt>
                  <c:pt idx="29">
                    <c:v>Blank_1</c:v>
                  </c:pt>
                  <c:pt idx="30">
                    <c:v>Blank_2</c:v>
                  </c:pt>
                  <c:pt idx="31">
                    <c:v>Blank_3</c:v>
                  </c:pt>
                  <c:pt idx="32">
                    <c:v>Blank_4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288-940E-41A3-9BD0-604611080B4B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99414528"/>
        <c:axId val="199416448"/>
      </c:scatterChart>
      <c:valAx>
        <c:axId val="199414528"/>
        <c:scaling>
          <c:orientation val="minMax"/>
          <c:max val="10"/>
          <c:min val="-1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199416448"/>
        <c:crossesAt val="0"/>
        <c:crossBetween val="midCat"/>
        <c:majorUnit val="10"/>
      </c:valAx>
      <c:valAx>
        <c:axId val="199416448"/>
        <c:scaling>
          <c:orientation val="minMax"/>
          <c:max val="10"/>
          <c:min val="-1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99414528"/>
        <c:crosses val="autoZero"/>
        <c:crossBetween val="midCat"/>
        <c:majorUnit val="10"/>
      </c:valAx>
      <c:spPr>
        <a:ln w="9525">
          <a:solidFill>
            <a:srgbClr val="00B0F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85</xdr:row>
      <xdr:rowOff>0</xdr:rowOff>
    </xdr:from>
    <xdr:to>
      <xdr:col>19</xdr:col>
      <xdr:colOff>174539</xdr:colOff>
      <xdr:row>134</xdr:row>
      <xdr:rowOff>44694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203200</xdr:colOff>
      <xdr:row>22</xdr:row>
      <xdr:rowOff>36830</xdr:rowOff>
    </xdr:from>
    <xdr:to>
      <xdr:col>21</xdr:col>
      <xdr:colOff>381000</xdr:colOff>
      <xdr:row>75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271903</xdr:colOff>
      <xdr:row>20</xdr:row>
      <xdr:rowOff>227220</xdr:rowOff>
    </xdr:from>
    <xdr:to>
      <xdr:col>11</xdr:col>
      <xdr:colOff>274365</xdr:colOff>
      <xdr:row>21</xdr:row>
      <xdr:rowOff>167683</xdr:rowOff>
    </xdr:to>
    <xdr:sp macro="" textlink="">
      <xdr:nvSpPr>
        <xdr:cNvPr id="4" name="Arrow: Chevro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 rot="16200000" flipH="1">
          <a:off x="5471802" y="4838071"/>
          <a:ext cx="169063" cy="535862"/>
        </a:xfrm>
        <a:prstGeom prst="chevron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381001</xdr:colOff>
      <xdr:row>38</xdr:row>
      <xdr:rowOff>127002</xdr:rowOff>
    </xdr:from>
    <xdr:to>
      <xdr:col>3</xdr:col>
      <xdr:colOff>262467</xdr:colOff>
      <xdr:row>43</xdr:row>
      <xdr:rowOff>169336</xdr:rowOff>
    </xdr:to>
    <xdr:sp macro="" textlink="">
      <xdr:nvSpPr>
        <xdr:cNvPr id="4" name="Arrow: Up-Dow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591734" y="6324602"/>
          <a:ext cx="270933" cy="973667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186267</xdr:colOff>
      <xdr:row>39</xdr:row>
      <xdr:rowOff>67733</xdr:rowOff>
    </xdr:from>
    <xdr:to>
      <xdr:col>0</xdr:col>
      <xdr:colOff>423334</xdr:colOff>
      <xdr:row>44</xdr:row>
      <xdr:rowOff>110067</xdr:rowOff>
    </xdr:to>
    <xdr:sp macro="" textlink="">
      <xdr:nvSpPr>
        <xdr:cNvPr id="7" name="Arrow: Up-Dow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86267" y="6451600"/>
          <a:ext cx="237067" cy="973667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1650228</xdr:colOff>
      <xdr:row>8</xdr:row>
      <xdr:rowOff>72353</xdr:rowOff>
    </xdr:from>
    <xdr:to>
      <xdr:col>11</xdr:col>
      <xdr:colOff>147482</xdr:colOff>
      <xdr:row>11</xdr:row>
      <xdr:rowOff>160925</xdr:rowOff>
    </xdr:to>
    <xdr:sp macro="" textlink="">
      <xdr:nvSpPr>
        <xdr:cNvPr id="13" name="Arrow: Chevro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 flipH="1">
          <a:off x="15465874" y="1830815"/>
          <a:ext cx="167793" cy="633695"/>
        </a:xfrm>
        <a:prstGeom prst="chevron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770467</xdr:colOff>
      <xdr:row>40</xdr:row>
      <xdr:rowOff>16934</xdr:rowOff>
    </xdr:from>
    <xdr:to>
      <xdr:col>2</xdr:col>
      <xdr:colOff>119000</xdr:colOff>
      <xdr:row>42</xdr:row>
      <xdr:rowOff>3190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39" t="18416" r="5816" b="18996"/>
        <a:stretch/>
      </xdr:blipFill>
      <xdr:spPr bwMode="auto">
        <a:xfrm>
          <a:off x="770467" y="6587067"/>
          <a:ext cx="559266" cy="3542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</xdr:row>
          <xdr:rowOff>198120</xdr:rowOff>
        </xdr:from>
        <xdr:to>
          <xdr:col>20</xdr:col>
          <xdr:colOff>510540</xdr:colOff>
          <xdr:row>13</xdr:row>
          <xdr:rowOff>53340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0</xdr:row>
      <xdr:rowOff>120650</xdr:rowOff>
    </xdr:from>
    <xdr:to>
      <xdr:col>26</xdr:col>
      <xdr:colOff>52724</xdr:colOff>
      <xdr:row>49</xdr:row>
      <xdr:rowOff>77667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64</xdr:row>
      <xdr:rowOff>0</xdr:rowOff>
    </xdr:from>
    <xdr:to>
      <xdr:col>26</xdr:col>
      <xdr:colOff>341680</xdr:colOff>
      <xdr:row>112</xdr:row>
      <xdr:rowOff>154176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604646</xdr:colOff>
      <xdr:row>42</xdr:row>
      <xdr:rowOff>153848</xdr:rowOff>
    </xdr:from>
    <xdr:to>
      <xdr:col>1</xdr:col>
      <xdr:colOff>105114</xdr:colOff>
      <xdr:row>48</xdr:row>
      <xdr:rowOff>10329</xdr:rowOff>
    </xdr:to>
    <xdr:sp macro="" textlink="">
      <xdr:nvSpPr>
        <xdr:cNvPr id="2" name="Arrow: Up-Dow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04646" y="7030433"/>
          <a:ext cx="336809" cy="971603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177595</xdr:colOff>
      <xdr:row>43</xdr:row>
      <xdr:rowOff>80333</xdr:rowOff>
    </xdr:from>
    <xdr:to>
      <xdr:col>8</xdr:col>
      <xdr:colOff>245329</xdr:colOff>
      <xdr:row>48</xdr:row>
      <xdr:rowOff>122668</xdr:rowOff>
    </xdr:to>
    <xdr:sp macro="" textlink="">
      <xdr:nvSpPr>
        <xdr:cNvPr id="6" name="Arrow: Up-Dow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123375" y="7142772"/>
          <a:ext cx="337222" cy="971603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6</xdr:col>
      <xdr:colOff>56098</xdr:colOff>
      <xdr:row>43</xdr:row>
      <xdr:rowOff>145700</xdr:rowOff>
    </xdr:from>
    <xdr:to>
      <xdr:col>6</xdr:col>
      <xdr:colOff>615364</xdr:colOff>
      <xdr:row>45</xdr:row>
      <xdr:rowOff>128225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39" t="18416" r="5816" b="18996"/>
        <a:stretch/>
      </xdr:blipFill>
      <xdr:spPr bwMode="auto">
        <a:xfrm>
          <a:off x="2286342" y="7208139"/>
          <a:ext cx="559266" cy="3542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16</xdr:row>
      <xdr:rowOff>93135</xdr:rowOff>
    </xdr:from>
    <xdr:to>
      <xdr:col>10</xdr:col>
      <xdr:colOff>152402</xdr:colOff>
      <xdr:row>20</xdr:row>
      <xdr:rowOff>1</xdr:rowOff>
    </xdr:to>
    <xdr:sp macro="" textlink="">
      <xdr:nvSpPr>
        <xdr:cNvPr id="18" name="Arrow: Chevron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5740403" y="3039535"/>
          <a:ext cx="165099" cy="643466"/>
        </a:xfrm>
        <a:prstGeom prst="chevron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154024</xdr:colOff>
      <xdr:row>0</xdr:row>
      <xdr:rowOff>99205</xdr:rowOff>
    </xdr:from>
    <xdr:to>
      <xdr:col>19</xdr:col>
      <xdr:colOff>575666</xdr:colOff>
      <xdr:row>48</xdr:row>
      <xdr:rowOff>12881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3</xdr:col>
      <xdr:colOff>259403</xdr:colOff>
      <xdr:row>305</xdr:row>
      <xdr:rowOff>24319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0" y="56161021"/>
          <a:ext cx="3112850" cy="778213"/>
          <a:chOff x="8107" y="56671723"/>
          <a:chExt cx="3112850" cy="834958"/>
        </a:xfrm>
      </xdr:grpSpPr>
      <xdr:sp macro="" textlink="">
        <xdr:nvSpPr>
          <xdr:cNvPr id="6" name="Arrow: Up-Down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810639" y="56679350"/>
            <a:ext cx="218873" cy="576454"/>
          </a:xfrm>
          <a:prstGeom prst="upDownArrow">
            <a:avLst>
              <a:gd name="adj1" fmla="val 18057"/>
              <a:gd name="adj2" fmla="val 58515"/>
            </a:avLst>
          </a:prstGeom>
          <a:ln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8" name="Arrow: Up-Down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2485418" y="56692801"/>
            <a:ext cx="218873" cy="576454"/>
          </a:xfrm>
          <a:prstGeom prst="upDownArrow">
            <a:avLst>
              <a:gd name="adj1" fmla="val 18057"/>
              <a:gd name="adj2" fmla="val 58515"/>
            </a:avLst>
          </a:prstGeom>
          <a:ln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8107" y="56671723"/>
            <a:ext cx="2861554" cy="611752"/>
          </a:xfrm>
          <a:prstGeom prst="rect">
            <a:avLst/>
          </a:prstGeom>
          <a:solidFill>
            <a:srgbClr val="FFFF99">
              <a:alpha val="18824"/>
            </a:srgb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N" sz="1100">
              <a:solidFill>
                <a:schemeClr val="tx1"/>
              </a:solidFill>
            </a:endParaRPr>
          </a:p>
        </xdr:txBody>
      </xdr:sp>
      <xdr:sp macro="" textlink="">
        <xdr:nvSpPr>
          <xdr:cNvPr id="10" name="Plus Sign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2707532" y="57158106"/>
            <a:ext cx="413425" cy="348575"/>
          </a:xfrm>
          <a:prstGeom prst="mathPlus">
            <a:avLst>
              <a:gd name="adj1" fmla="val 7146"/>
            </a:avLst>
          </a:prstGeom>
          <a:solidFill>
            <a:srgbClr val="FF0066"/>
          </a:solidFill>
          <a:ln>
            <a:solidFill>
              <a:srgbClr val="FF006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>
    <xdr:from>
      <xdr:col>2</xdr:col>
      <xdr:colOff>254360</xdr:colOff>
      <xdr:row>136</xdr:row>
      <xdr:rowOff>105384</xdr:rowOff>
    </xdr:from>
    <xdr:to>
      <xdr:col>2</xdr:col>
      <xdr:colOff>525293</xdr:colOff>
      <xdr:row>141</xdr:row>
      <xdr:rowOff>146816</xdr:rowOff>
    </xdr:to>
    <xdr:sp macro="" textlink="">
      <xdr:nvSpPr>
        <xdr:cNvPr id="17" name="Arrow: Up-Down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1778360" y="25494575"/>
          <a:ext cx="270933" cy="973667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372893</xdr:colOff>
      <xdr:row>136</xdr:row>
      <xdr:rowOff>126999</xdr:rowOff>
    </xdr:from>
    <xdr:to>
      <xdr:col>0</xdr:col>
      <xdr:colOff>609960</xdr:colOff>
      <xdr:row>141</xdr:row>
      <xdr:rowOff>168431</xdr:rowOff>
    </xdr:to>
    <xdr:sp macro="" textlink="">
      <xdr:nvSpPr>
        <xdr:cNvPr id="18" name="Arrow: Up-Down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72893" y="25516190"/>
          <a:ext cx="237067" cy="973667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745787</xdr:colOff>
      <xdr:row>134</xdr:row>
      <xdr:rowOff>97277</xdr:rowOff>
    </xdr:from>
    <xdr:to>
      <xdr:col>2</xdr:col>
      <xdr:colOff>88846</xdr:colOff>
      <xdr:row>137</xdr:row>
      <xdr:rowOff>112517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787" y="25113575"/>
          <a:ext cx="867059" cy="574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27</xdr:row>
      <xdr:rowOff>186448</xdr:rowOff>
    </xdr:from>
    <xdr:to>
      <xdr:col>3</xdr:col>
      <xdr:colOff>259403</xdr:colOff>
      <xdr:row>31</xdr:row>
      <xdr:rowOff>178341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pSpPr/>
      </xdr:nvGrpSpPr>
      <xdr:grpSpPr>
        <a:xfrm>
          <a:off x="0" y="5220512"/>
          <a:ext cx="3112850" cy="753893"/>
          <a:chOff x="8107" y="56671723"/>
          <a:chExt cx="3112850" cy="834958"/>
        </a:xfrm>
        <a:noFill/>
      </xdr:grpSpPr>
      <xdr:sp macro="" textlink="">
        <xdr:nvSpPr>
          <xdr:cNvPr id="13" name="Arrow: Up-Down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802533" y="56704151"/>
            <a:ext cx="218873" cy="576454"/>
          </a:xfrm>
          <a:prstGeom prst="upDownArrow">
            <a:avLst>
              <a:gd name="adj1" fmla="val 18057"/>
              <a:gd name="adj2" fmla="val 58515"/>
            </a:avLst>
          </a:prstGeom>
          <a:solidFill>
            <a:srgbClr val="BDEEFF"/>
          </a:solidFill>
          <a:ln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4" name="Arrow: Up-Down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1415375" y="56692801"/>
            <a:ext cx="218873" cy="576454"/>
          </a:xfrm>
          <a:prstGeom prst="upDownArrow">
            <a:avLst>
              <a:gd name="adj1" fmla="val 18057"/>
              <a:gd name="adj2" fmla="val 58515"/>
            </a:avLst>
          </a:prstGeom>
          <a:solidFill>
            <a:srgbClr val="BDEEFF"/>
          </a:solidFill>
          <a:ln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8107" y="56671723"/>
            <a:ext cx="2861554" cy="624192"/>
          </a:xfrm>
          <a:prstGeom prst="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N" sz="1100">
              <a:solidFill>
                <a:schemeClr val="tx1"/>
              </a:solidFill>
            </a:endParaRPr>
          </a:p>
        </xdr:txBody>
      </xdr:sp>
      <xdr:sp macro="" textlink="">
        <xdr:nvSpPr>
          <xdr:cNvPr id="16" name="Plus Sign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SpPr/>
        </xdr:nvSpPr>
        <xdr:spPr>
          <a:xfrm>
            <a:off x="2707532" y="57158106"/>
            <a:ext cx="413425" cy="348575"/>
          </a:xfrm>
          <a:prstGeom prst="mathPlus">
            <a:avLst>
              <a:gd name="adj1" fmla="val 7146"/>
            </a:avLst>
          </a:prstGeom>
          <a:grpFill/>
          <a:ln>
            <a:solidFill>
              <a:srgbClr val="FF006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37C0B5-A7B8-4E0D-B53F-B6E83A0532BB}" name="Table2" displayName="Table2" ref="A1:D2" totalsRowShown="0" headerRowDxfId="60" tableBorderDxfId="59">
  <autoFilter ref="A1:D2" xr:uid="{AA37C0B5-A7B8-4E0D-B53F-B6E83A0532BB}"/>
  <tableColumns count="4">
    <tableColumn id="1" xr3:uid="{BF322703-94EF-47D9-8B34-389C06B4DB2B}" name="Login" dataDxfId="58" dataCellStyle="Hyperlink"/>
    <tableColumn id="2" xr3:uid="{DDAC585A-1DB6-4251-BB70-1FCEED22963F}" name="World" dataDxfId="57" dataCellStyle="Hyperlink"/>
    <tableColumn id="3" xr3:uid="{2E128C80-FF98-48AD-ACEA-FFB7E65DFAFF}" name="Room" dataDxfId="56" dataCellStyle="Hyperlink"/>
    <tableColumn id="4" xr3:uid="{A8371B99-BEE2-477B-84AC-A51C009A42EC}" name="Download Video Tutorials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720F3F-C52C-4D06-8DFC-D0E41CEDC898}" name="Table3" displayName="Table3" ref="A1:E2" totalsRowShown="0" headerRowBorderDxfId="55" tableBorderDxfId="54" totalsRowBorderDxfId="53">
  <autoFilter ref="A1:E2" xr:uid="{05720F3F-C52C-4D06-8DFC-D0E41CEDC898}"/>
  <tableColumns count="5">
    <tableColumn id="1" xr3:uid="{771F65C1-C9EA-4E05-95D7-532AAF682AEA}" name="Status" dataDxfId="52"/>
    <tableColumn id="2" xr3:uid="{D723D39E-D211-4028-AE0F-9D64392569D3}" name="File Name" dataDxfId="51" dataCellStyle="Normal 2"/>
    <tableColumn id="3" xr3:uid="{1892A50E-3DD5-44FF-A8BB-356485EAED24}" name="Version" dataDxfId="50" dataCellStyle="Normal 2"/>
    <tableColumn id="4" xr3:uid="{EF9BC8A2-96C6-40D8-8392-81F88A984276}" name="Syntax" dataDxfId="49" dataCellStyle="Normal 2"/>
    <tableColumn id="5" xr3:uid="{E6227A1D-14E4-441A-A45B-6E522D69705F}" name="Sheet version number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15B9B5E-BF49-45CA-A4DF-301556F59972}" name="Table4" displayName="Table4" ref="A1:D2" totalsRowShown="0" headerRowDxfId="47" dataDxfId="45" headerRowBorderDxfId="46" tableBorderDxfId="44">
  <autoFilter ref="A1:D2" xr:uid="{215B9B5E-BF49-45CA-A4DF-301556F59972}"/>
  <tableColumns count="4">
    <tableColumn id="1" xr3:uid="{3CEDF061-6C9D-4F84-B1AC-9D87CF916046}" name="Xmin" dataDxfId="43"/>
    <tableColumn id="2" xr3:uid="{256E292D-89B3-4F96-BD2D-39818B4D08E6}" name="Ymin" dataDxfId="42"/>
    <tableColumn id="3" xr3:uid="{65AE67E0-4239-4051-8974-C4C06051C487}" name="Xmax" dataDxfId="41"/>
    <tableColumn id="4" xr3:uid="{E5368395-9CEC-4E88-9BA5-2E0BB6F61800}" name="Ymax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61846A-ACED-4274-A72D-B1F68507B1FE}" name="Table1" displayName="Table1" ref="A1:L35" totalsRowShown="0" headerRowDxfId="29" dataDxfId="28" tableBorderDxfId="27" dataCellStyle="Normal 2">
  <autoFilter ref="A1:L35" xr:uid="{1A61846A-ACED-4274-A72D-B1F68507B1FE}"/>
  <tableColumns count="12">
    <tableColumn id="1" xr3:uid="{E9A363C7-184B-418D-9C4D-DD18192350B6}" name="Name" dataDxfId="26" dataCellStyle="Normal 2"/>
    <tableColumn id="2" xr3:uid="{F4B1EB1B-3A4D-4FBF-A27C-384325CEA5E9}" name="X" dataDxfId="25" dataCellStyle="Normal 2">
      <calculatedColumnFormula array="1">IF(INDEX(Paths!$AB$1:$AB$441,  MATCH(INDEX($A:$A,ROW()),  Paths!$Z$1:$Z$441,0),1)="",0,INDEX(Paths!$AB$1:$AB$441,  MATCH(INDEX($A:$A,ROW()),  Paths!$Z$1:$Z$441,0),1))</calculatedColumnFormula>
    </tableColumn>
    <tableColumn id="3" xr3:uid="{EAD00D53-29A5-4B5A-8BE5-DD232AD9165B}" name="Y" dataDxfId="24" dataCellStyle="Normal 2">
      <calculatedColumnFormula array="1">IF(INDEX(Paths!$AA$1:$AA$441,   MATCH(INDEX($A:$A,ROW()),  Paths!$Z$1:$Z$441,  0),  1)="",0,INDEX(Paths!$AA$1:$AA$441,   MATCH(INDEX($A:$A,ROW()),  Paths!$Z$1:$Z$441,  0),  1))</calculatedColumnFormula>
    </tableColumn>
    <tableColumn id="4" xr3:uid="{7FE8CB0B-F7AC-4B31-93B0-6A6D998CD3DA}" name="Location" dataDxfId="23" dataCellStyle="Normal 2">
      <calculatedColumnFormula array="1">"["&amp;IF(INDEX($B:$B,ROW())="",0,INDEX($B:$B,ROW()))&amp;","&amp;IF(INDEX($C:$C,ROW())="",0,INDEX($C:$C,ROW()))&amp;"]"</calculatedColumnFormula>
    </tableColumn>
    <tableColumn id="5" xr3:uid="{2142A20F-077C-4C17-A9D6-95258B29B43D}" name="Column1" dataDxfId="22"/>
    <tableColumn id="6" xr3:uid="{2CD4A1B2-FF85-459B-AF19-B8AB21C51887}" name="Text" dataDxfId="21" dataCellStyle="Normal 2"/>
    <tableColumn id="7" xr3:uid="{67E92060-B50B-4F4C-882C-5778B20A590D}" name="Forum" dataDxfId="20" dataCellStyle="Normal 2"/>
    <tableColumn id="8" xr3:uid="{7A8EBC07-FBF5-484B-9CC2-7FCA8E139B71}" name="Image" dataDxfId="19" dataCellStyle="Normal 2"/>
    <tableColumn id="9" xr3:uid="{082E6048-9EFA-44DC-9DAF-5F2F12D15F29}" name="Teleport" dataDxfId="18" dataCellStyle="Normal 2"/>
    <tableColumn id="10" xr3:uid="{31C309E7-8B6F-412C-8AE2-82B0B5E8BE0F}" name="Room" dataDxfId="17" dataCellStyle="Normal 2"/>
    <tableColumn id="11" xr3:uid="{D3FB9394-7F79-4C22-81A6-D3C4E6BAB936}" name="Link" dataDxfId="16" dataCellStyle="Normal 2"/>
    <tableColumn id="12" xr3:uid="{8EAA6E19-05C1-4053-9DD3-FA78A38D7467}" name="Column2" dataDxfId="15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CEFB23-1F71-41A6-B833-D7F6D16E158A}" name="Table5" displayName="Table5" ref="A1:D37" totalsRowShown="0" dataDxfId="8">
  <autoFilter ref="A1:D37" xr:uid="{95CEFB23-1F71-41A6-B833-D7F6D16E158A}"/>
  <tableColumns count="4">
    <tableColumn id="1" xr3:uid="{52919FEE-E17C-475F-A5AF-C906BE4B2DB5}" name="Start" dataDxfId="7"/>
    <tableColumn id="2" xr3:uid="{DD333FAD-9035-4589-B9C4-929977B2B960}" name="End" dataDxfId="6"/>
    <tableColumn id="3" xr3:uid="{AADFF8C5-E21D-48B6-A3D1-5D1E13EC3614}" name="Column1" dataDxfId="5"/>
    <tableColumn id="4" xr3:uid="{42DF8BE7-3BA9-453E-B832-F11A940FDAD3}" name="Path" dataDxfId="4"/>
  </tableColumns>
  <tableStyleInfo name="TableStyleMedium2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spotmaze.world/spotmaze?room1" TargetMode="External"/><Relationship Id="rId2" Type="http://schemas.openxmlformats.org/officeDocument/2006/relationships/hyperlink" Target="https://spotmaze.world/spotmaze" TargetMode="External"/><Relationship Id="rId1" Type="http://schemas.openxmlformats.org/officeDocument/2006/relationships/hyperlink" Target="https://www.spotmaze.com/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drive.google.com/drive/folders/1uFoeFM3rilbJz49_iyZiGy5QKXaBKMjv?usp=shar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potmaze.com/forum/welcome-to-the-forum/create-rooms" TargetMode="External"/><Relationship Id="rId13" Type="http://schemas.openxmlformats.org/officeDocument/2006/relationships/hyperlink" Target="https://www.spotmaze.com/forum/welcome-to-the-forum/organizing-meetups" TargetMode="External"/><Relationship Id="rId18" Type="http://schemas.openxmlformats.org/officeDocument/2006/relationships/hyperlink" Target="https://www.spotmaze.com/forum/welcome-to-the-forum/spatial-learning" TargetMode="External"/><Relationship Id="rId26" Type="http://schemas.openxmlformats.org/officeDocument/2006/relationships/control" Target="../activeX/activeX1.xml"/><Relationship Id="rId3" Type="http://schemas.openxmlformats.org/officeDocument/2006/relationships/hyperlink" Target="https://www.spotmaze.com/forum/welcome-to-the-forum/applications" TargetMode="External"/><Relationship Id="rId21" Type="http://schemas.openxmlformats.org/officeDocument/2006/relationships/hyperlink" Target="https://www.spotmaze.com/forum/welcome-to-the-forum/better-engagement" TargetMode="External"/><Relationship Id="rId7" Type="http://schemas.openxmlformats.org/officeDocument/2006/relationships/hyperlink" Target="https://www.spotmaze.com/forum/welcome-to-the-forum/connect-forums" TargetMode="External"/><Relationship Id="rId12" Type="http://schemas.openxmlformats.org/officeDocument/2006/relationships/hyperlink" Target="https://www.spotmaze.com/forum/welcome-to-the-forum/tour-creation" TargetMode="External"/><Relationship Id="rId17" Type="http://schemas.openxmlformats.org/officeDocument/2006/relationships/hyperlink" Target="https://www.spotmaze.com/forum/welcome-to-the-forum/community" TargetMode="External"/><Relationship Id="rId25" Type="http://schemas.openxmlformats.org/officeDocument/2006/relationships/vmlDrawing" Target="../drawings/vmlDrawing1.vml"/><Relationship Id="rId2" Type="http://schemas.openxmlformats.org/officeDocument/2006/relationships/hyperlink" Target="https://www.spotmaze.com/forum/welcome-to-the-forum/features" TargetMode="External"/><Relationship Id="rId16" Type="http://schemas.openxmlformats.org/officeDocument/2006/relationships/hyperlink" Target="https://www.spotmaze.com/forum/welcome-to-the-forum/site-maps" TargetMode="External"/><Relationship Id="rId20" Type="http://schemas.openxmlformats.org/officeDocument/2006/relationships/hyperlink" Target="https://www.spotmaze.com/forum/welcome-to-the-forum/better-recollection" TargetMode="External"/><Relationship Id="rId1" Type="http://schemas.openxmlformats.org/officeDocument/2006/relationships/hyperlink" Target="https://www.spotmaze.com/forum/welcome-to-the-forum/what-is-spotmaze" TargetMode="External"/><Relationship Id="rId6" Type="http://schemas.openxmlformats.org/officeDocument/2006/relationships/hyperlink" Target="https://www.spotmaze.com/forum/welcome-to-the-forum/create-locations" TargetMode="External"/><Relationship Id="rId11" Type="http://schemas.openxmlformats.org/officeDocument/2006/relationships/hyperlink" Target="https://www.spotmaze.com/forum/welcome-to-the-forum/building-maps" TargetMode="External"/><Relationship Id="rId24" Type="http://schemas.openxmlformats.org/officeDocument/2006/relationships/drawing" Target="../drawings/drawing2.xml"/><Relationship Id="rId5" Type="http://schemas.openxmlformats.org/officeDocument/2006/relationships/hyperlink" Target="https://www.spotmaze.com/forum/welcome-to-the-forum/build-worlds" TargetMode="External"/><Relationship Id="rId15" Type="http://schemas.openxmlformats.org/officeDocument/2006/relationships/hyperlink" Target="https://www.spotmaze.com/forum/welcome-to-the-forum/finding-content" TargetMode="External"/><Relationship Id="rId23" Type="http://schemas.openxmlformats.org/officeDocument/2006/relationships/printerSettings" Target="../printerSettings/printerSettings5.bin"/><Relationship Id="rId28" Type="http://schemas.openxmlformats.org/officeDocument/2006/relationships/table" Target="../tables/table4.xml"/><Relationship Id="rId10" Type="http://schemas.openxmlformats.org/officeDocument/2006/relationships/hyperlink" Target="https://www.spotmaze.com/forum/welcome-to-the-forum/embed-images" TargetMode="External"/><Relationship Id="rId19" Type="http://schemas.openxmlformats.org/officeDocument/2006/relationships/hyperlink" Target="https://www.spotmaze.com/forum/welcome-to-the-forum/spatial-memory" TargetMode="External"/><Relationship Id="rId4" Type="http://schemas.openxmlformats.org/officeDocument/2006/relationships/hyperlink" Target="https://www.spotmaze.com/forum/welcome-to-the-forum/benefits" TargetMode="External"/><Relationship Id="rId9" Type="http://schemas.openxmlformats.org/officeDocument/2006/relationships/hyperlink" Target="https://www.spotmaze.com/forum/welcome-to-the-forum/write-content" TargetMode="External"/><Relationship Id="rId14" Type="http://schemas.openxmlformats.org/officeDocument/2006/relationships/hyperlink" Target="https://www.spotmaze.com/forum/welcome-to-the-forum/gamification" TargetMode="External"/><Relationship Id="rId22" Type="http://schemas.openxmlformats.org/officeDocument/2006/relationships/hyperlink" Target="https://www.spotmaze.com/forum/welcome-to-the-forum/improved-grasping" TargetMode="External"/><Relationship Id="rId27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hyperlink" Target="https://spotmaze.world/spotmaze" TargetMode="External"/><Relationship Id="rId7" Type="http://schemas.openxmlformats.org/officeDocument/2006/relationships/hyperlink" Target="https://drive.google.com/drive/folders/1uFoeFM3rilbJz49_iyZiGy5QKXaBKMjv?usp=sharing" TargetMode="External"/><Relationship Id="rId2" Type="http://schemas.openxmlformats.org/officeDocument/2006/relationships/hyperlink" Target="https://spotmaze.world/spotmaze?excel_import" TargetMode="External"/><Relationship Id="rId1" Type="http://schemas.openxmlformats.org/officeDocument/2006/relationships/hyperlink" Target="https://docs.google.com/spreadsheets/d/1Q0a8-2sIvj7IQSQ2C1mAVWkEygv6768o" TargetMode="External"/><Relationship Id="rId6" Type="http://schemas.openxmlformats.org/officeDocument/2006/relationships/hyperlink" Target="https://beautifytools.com/excel-to-json-converter.php" TargetMode="External"/><Relationship Id="rId5" Type="http://schemas.openxmlformats.org/officeDocument/2006/relationships/hyperlink" Target="https://github.com/spotmaze/spotmaze" TargetMode="External"/><Relationship Id="rId4" Type="http://schemas.openxmlformats.org/officeDocument/2006/relationships/hyperlink" Target="https://github.com/spotmaze/spotmaze/blob/main/spotmaze.js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"/>
  <sheetViews>
    <sheetView workbookViewId="0">
      <selection activeCell="C27" sqref="C27"/>
    </sheetView>
  </sheetViews>
  <sheetFormatPr defaultRowHeight="14.4" x14ac:dyDescent="0.3"/>
  <cols>
    <col min="1" max="1" width="37.33203125" style="1" customWidth="1"/>
    <col min="2" max="2" width="42" style="1" customWidth="1"/>
    <col min="3" max="3" width="61.88671875" style="1" customWidth="1"/>
    <col min="4" max="4" width="78.21875" customWidth="1"/>
    <col min="5" max="5" width="19.77734375" customWidth="1"/>
  </cols>
  <sheetData>
    <row r="1" spans="1:4" x14ac:dyDescent="0.3">
      <c r="A1" s="165" t="s">
        <v>97</v>
      </c>
      <c r="B1" s="15" t="s">
        <v>79</v>
      </c>
      <c r="C1" s="15" t="s">
        <v>101</v>
      </c>
      <c r="D1" s="89" t="s">
        <v>153</v>
      </c>
    </row>
    <row r="2" spans="1:4" x14ac:dyDescent="0.3">
      <c r="A2" s="166" t="s">
        <v>56</v>
      </c>
      <c r="B2" s="50" t="s">
        <v>57</v>
      </c>
      <c r="C2" s="14" t="s">
        <v>102</v>
      </c>
      <c r="D2" s="90" t="s">
        <v>152</v>
      </c>
    </row>
  </sheetData>
  <hyperlinks>
    <hyperlink ref="A2" r:id="rId1" xr:uid="{00000000-0004-0000-0000-000000000000}"/>
    <hyperlink ref="B2" r:id="rId2" xr:uid="{00000000-0004-0000-0000-000001000000}"/>
    <hyperlink ref="C2" r:id="rId3" xr:uid="{5766DACD-E271-4D41-B3CE-5A5D5FFC309E}"/>
    <hyperlink ref="D2" r:id="rId4" xr:uid="{E265A1A2-53D3-4B59-BF72-7FF08E0EF321}"/>
  </hyperlinks>
  <pageMargins left="0.7" right="0.7" top="0.75" bottom="0.75" header="0.3" footer="0.3"/>
  <pageSetup orientation="portrait" r:id="rId5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9"/>
  <sheetViews>
    <sheetView workbookViewId="0">
      <selection sqref="A1:E2"/>
    </sheetView>
  </sheetViews>
  <sheetFormatPr defaultRowHeight="14.4" x14ac:dyDescent="0.3"/>
  <cols>
    <col min="1" max="1" width="20.77734375" style="53" customWidth="1"/>
    <col min="2" max="3" width="20.77734375" style="48" customWidth="1"/>
    <col min="4" max="4" width="20.77734375" style="53" customWidth="1"/>
    <col min="5" max="5" width="21.33203125" style="54" customWidth="1"/>
  </cols>
  <sheetData>
    <row r="1" spans="1:5" s="3" customFormat="1" x14ac:dyDescent="0.3">
      <c r="A1" s="167" t="s">
        <v>51</v>
      </c>
      <c r="B1" s="168" t="s">
        <v>49</v>
      </c>
      <c r="C1" s="168" t="s">
        <v>53</v>
      </c>
      <c r="D1" s="169" t="s">
        <v>55</v>
      </c>
      <c r="E1" s="170" t="s">
        <v>107</v>
      </c>
    </row>
    <row r="2" spans="1:5" s="3" customFormat="1" x14ac:dyDescent="0.3">
      <c r="A2" s="171" t="s">
        <v>52</v>
      </c>
      <c r="B2" s="172" t="s">
        <v>50</v>
      </c>
      <c r="C2" s="172" t="s">
        <v>54</v>
      </c>
      <c r="D2" s="173">
        <v>1</v>
      </c>
      <c r="E2" s="174">
        <v>1</v>
      </c>
    </row>
    <row r="6" spans="1:5" ht="15" x14ac:dyDescent="0.3">
      <c r="B6" s="49"/>
    </row>
    <row r="7" spans="1:5" ht="15" x14ac:dyDescent="0.3">
      <c r="B7" s="49"/>
    </row>
    <row r="8" spans="1:5" ht="15" x14ac:dyDescent="0.3">
      <c r="B8" s="49"/>
    </row>
    <row r="9" spans="1:5" ht="15" x14ac:dyDescent="0.3">
      <c r="B9" s="49"/>
    </row>
  </sheetData>
  <sheetProtection selectLockedCells="1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"/>
  <sheetViews>
    <sheetView workbookViewId="0"/>
  </sheetViews>
  <sheetFormatPr defaultRowHeight="14.4" x14ac:dyDescent="0.3"/>
  <cols>
    <col min="1" max="4" width="20.77734375" customWidth="1"/>
  </cols>
  <sheetData>
    <row r="1" spans="1:4" x14ac:dyDescent="0.3">
      <c r="A1" s="175" t="s">
        <v>75</v>
      </c>
      <c r="B1" s="176" t="s">
        <v>77</v>
      </c>
      <c r="C1" s="176" t="s">
        <v>76</v>
      </c>
      <c r="D1" s="177" t="s">
        <v>78</v>
      </c>
    </row>
    <row r="2" spans="1:4" x14ac:dyDescent="0.3">
      <c r="A2" s="126">
        <v>-10</v>
      </c>
      <c r="B2" s="126">
        <v>-10</v>
      </c>
      <c r="C2" s="126">
        <v>10</v>
      </c>
      <c r="D2" s="126">
        <v>10</v>
      </c>
    </row>
  </sheetData>
  <sheetProtection selectLockedCells="1" selectUnlockedCells="1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E0ACC-6C7F-424B-B797-CF5FD15C6EAA}">
  <sheetPr codeName="Sheet7"/>
  <dimension ref="B1:V84"/>
  <sheetViews>
    <sheetView tabSelected="1" zoomScale="120" zoomScaleNormal="120" workbookViewId="0">
      <selection activeCell="B1" sqref="B1:V1"/>
    </sheetView>
  </sheetViews>
  <sheetFormatPr defaultRowHeight="14.4" x14ac:dyDescent="0.3"/>
  <cols>
    <col min="1" max="1" width="3.109375" customWidth="1"/>
    <col min="2" max="5" width="7.77734375" style="9" customWidth="1"/>
    <col min="6" max="19" width="7.77734375" style="2" customWidth="1"/>
    <col min="20" max="21" width="7.77734375" style="4" customWidth="1"/>
    <col min="22" max="22" width="7.77734375" style="5" customWidth="1"/>
    <col min="23" max="23" width="4.5546875" customWidth="1"/>
  </cols>
  <sheetData>
    <row r="1" spans="2:22" ht="35.4" customHeight="1" thickBot="1" x14ac:dyDescent="0.35">
      <c r="B1" s="181" t="s">
        <v>161</v>
      </c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3"/>
    </row>
    <row r="2" spans="2:22" ht="18" customHeight="1" x14ac:dyDescent="0.3">
      <c r="B2" s="140" t="s">
        <v>87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2" t="s">
        <v>86</v>
      </c>
    </row>
    <row r="3" spans="2:22" ht="18" customHeight="1" x14ac:dyDescent="0.3">
      <c r="B3" s="143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5"/>
    </row>
    <row r="4" spans="2:22" ht="18" customHeight="1" x14ac:dyDescent="0.3">
      <c r="B4" s="143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 t="s">
        <v>156</v>
      </c>
      <c r="O4" s="144"/>
      <c r="P4" s="144"/>
      <c r="Q4" s="144"/>
      <c r="R4" s="144"/>
      <c r="S4" s="144"/>
      <c r="T4" s="144"/>
      <c r="U4" s="144"/>
      <c r="V4" s="145"/>
    </row>
    <row r="5" spans="2:22" ht="18" customHeight="1" x14ac:dyDescent="0.3">
      <c r="B5" s="14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5"/>
    </row>
    <row r="6" spans="2:22" ht="18" customHeight="1" x14ac:dyDescent="0.3">
      <c r="B6" s="143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 t="s">
        <v>19</v>
      </c>
      <c r="N6" s="144"/>
      <c r="O6" s="144" t="s">
        <v>44</v>
      </c>
      <c r="P6" s="144"/>
      <c r="Q6" s="144"/>
      <c r="R6" s="144"/>
      <c r="S6" s="144"/>
      <c r="T6" s="144"/>
      <c r="U6" s="144"/>
      <c r="V6" s="145"/>
    </row>
    <row r="7" spans="2:22" ht="18" customHeight="1" x14ac:dyDescent="0.3">
      <c r="B7" s="143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 t="s">
        <v>17</v>
      </c>
      <c r="N7" s="144"/>
      <c r="O7" s="144" t="s">
        <v>42</v>
      </c>
      <c r="P7" s="144"/>
      <c r="Q7" s="144"/>
      <c r="R7" s="144"/>
      <c r="S7" s="144"/>
      <c r="T7" s="144"/>
      <c r="U7" s="144"/>
      <c r="V7" s="145"/>
    </row>
    <row r="8" spans="2:22" ht="18" customHeight="1" x14ac:dyDescent="0.3">
      <c r="B8" s="143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 t="s">
        <v>15</v>
      </c>
      <c r="N8" s="144"/>
      <c r="O8" s="144" t="s">
        <v>40</v>
      </c>
      <c r="P8" s="144"/>
      <c r="Q8" s="144"/>
      <c r="R8" s="144"/>
      <c r="S8" s="144"/>
      <c r="T8" s="144"/>
      <c r="U8" s="144"/>
      <c r="V8" s="145"/>
    </row>
    <row r="9" spans="2:22" ht="18" customHeight="1" x14ac:dyDescent="0.3">
      <c r="B9" s="143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 t="s">
        <v>13</v>
      </c>
      <c r="N9" s="144"/>
      <c r="O9" s="144" t="s">
        <v>38</v>
      </c>
      <c r="P9" s="144"/>
      <c r="Q9" s="144"/>
      <c r="R9" s="144"/>
      <c r="S9" s="144"/>
      <c r="T9" s="144"/>
      <c r="U9" s="144"/>
      <c r="V9" s="145"/>
    </row>
    <row r="10" spans="2:22" ht="18" customHeight="1" x14ac:dyDescent="0.3">
      <c r="B10" s="143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 t="s">
        <v>11</v>
      </c>
      <c r="N10" s="144"/>
      <c r="O10" s="144" t="s">
        <v>35</v>
      </c>
      <c r="P10" s="144"/>
      <c r="Q10" s="144"/>
      <c r="R10" s="144"/>
      <c r="S10" s="144"/>
      <c r="T10" s="144"/>
      <c r="U10" s="144"/>
      <c r="V10" s="145"/>
    </row>
    <row r="11" spans="2:22" ht="18" customHeight="1" x14ac:dyDescent="0.3">
      <c r="B11" s="143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 t="s">
        <v>9</v>
      </c>
      <c r="N11" s="144"/>
      <c r="O11" s="144" t="s">
        <v>33</v>
      </c>
      <c r="P11" s="144"/>
      <c r="Q11" s="144"/>
      <c r="R11" s="144"/>
      <c r="S11" s="144"/>
      <c r="T11" s="144"/>
      <c r="U11" s="144"/>
      <c r="V11" s="145"/>
    </row>
    <row r="12" spans="2:22" ht="18" customHeight="1" x14ac:dyDescent="0.3">
      <c r="B12" s="143"/>
      <c r="C12" s="144"/>
      <c r="D12" s="144"/>
      <c r="E12" s="144"/>
      <c r="F12" s="144"/>
      <c r="G12" s="144"/>
      <c r="H12" s="144"/>
      <c r="I12" s="144"/>
      <c r="J12" s="144"/>
      <c r="K12" s="144"/>
      <c r="L12" s="144" t="s">
        <v>5</v>
      </c>
      <c r="M12" s="144" t="s">
        <v>6</v>
      </c>
      <c r="N12" s="144" t="s">
        <v>7</v>
      </c>
      <c r="O12" s="144" t="s">
        <v>8</v>
      </c>
      <c r="P12" s="144"/>
      <c r="Q12" s="144"/>
      <c r="R12" s="144"/>
      <c r="S12" s="144"/>
      <c r="T12" s="144"/>
      <c r="U12" s="144"/>
      <c r="V12" s="145"/>
    </row>
    <row r="13" spans="2:22" ht="18" customHeight="1" x14ac:dyDescent="0.3">
      <c r="B13" s="143"/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 t="s">
        <v>21</v>
      </c>
      <c r="O13" s="144"/>
      <c r="P13" s="144"/>
      <c r="Q13" s="144"/>
      <c r="R13" s="144"/>
      <c r="S13" s="144"/>
      <c r="T13" s="144"/>
      <c r="U13" s="144"/>
      <c r="V13" s="145"/>
    </row>
    <row r="14" spans="2:22" ht="18" customHeight="1" x14ac:dyDescent="0.3">
      <c r="B14" s="143"/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 t="s">
        <v>23</v>
      </c>
      <c r="O14" s="144"/>
      <c r="P14" s="144"/>
      <c r="Q14" s="144"/>
      <c r="R14" s="144"/>
      <c r="S14" s="144"/>
      <c r="T14" s="144"/>
      <c r="U14" s="144"/>
      <c r="V14" s="145"/>
    </row>
    <row r="15" spans="2:22" ht="18" customHeight="1" x14ac:dyDescent="0.3">
      <c r="B15" s="143"/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 t="s">
        <v>25</v>
      </c>
      <c r="O15" s="144"/>
      <c r="P15" s="144"/>
      <c r="Q15" s="144"/>
      <c r="R15" s="144"/>
      <c r="S15" s="144"/>
      <c r="T15" s="144"/>
      <c r="U15" s="144"/>
      <c r="V15" s="145"/>
    </row>
    <row r="16" spans="2:22" ht="18" customHeight="1" x14ac:dyDescent="0.3">
      <c r="B16" s="143"/>
      <c r="C16" s="144"/>
      <c r="D16" s="144"/>
      <c r="E16" s="144"/>
      <c r="F16" s="144"/>
      <c r="G16" s="144"/>
      <c r="H16" s="144"/>
      <c r="I16" s="144"/>
      <c r="J16" s="144"/>
      <c r="K16" s="144"/>
      <c r="L16" s="144"/>
      <c r="M16" s="144"/>
      <c r="N16" s="144" t="s">
        <v>27</v>
      </c>
      <c r="O16" s="144"/>
      <c r="P16" s="144"/>
      <c r="Q16" s="144"/>
      <c r="R16" s="144"/>
      <c r="S16" s="144"/>
      <c r="T16" s="144"/>
      <c r="U16" s="144"/>
      <c r="V16" s="145"/>
    </row>
    <row r="17" spans="2:22" ht="18" customHeight="1" x14ac:dyDescent="0.3">
      <c r="B17" s="143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 t="s">
        <v>29</v>
      </c>
      <c r="O17" s="144"/>
      <c r="P17" s="144"/>
      <c r="Q17" s="144"/>
      <c r="R17" s="144"/>
      <c r="S17" s="144"/>
      <c r="T17" s="144"/>
      <c r="U17" s="144"/>
      <c r="V17" s="145"/>
    </row>
    <row r="18" spans="2:22" ht="18" customHeight="1" x14ac:dyDescent="0.3">
      <c r="B18" s="143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 t="s">
        <v>31</v>
      </c>
      <c r="O18" s="144"/>
      <c r="P18" s="144"/>
      <c r="Q18" s="144"/>
      <c r="R18" s="144"/>
      <c r="S18" s="144"/>
      <c r="T18" s="144"/>
      <c r="U18" s="144"/>
      <c r="V18" s="145"/>
    </row>
    <row r="19" spans="2:22" ht="18" customHeight="1" x14ac:dyDescent="0.3">
      <c r="B19" s="143"/>
      <c r="C19" s="144"/>
      <c r="D19" s="144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5"/>
    </row>
    <row r="20" spans="2:22" ht="18" customHeight="1" x14ac:dyDescent="0.3">
      <c r="B20" s="143"/>
      <c r="C20" s="144"/>
      <c r="D20" s="144"/>
      <c r="E20" s="144"/>
      <c r="F20" s="144"/>
      <c r="G20" s="144"/>
      <c r="H20" s="144"/>
      <c r="I20" s="144"/>
      <c r="J20" s="144"/>
      <c r="K20" s="144"/>
      <c r="L20" s="144"/>
      <c r="M20" s="144"/>
      <c r="N20" s="144" t="s">
        <v>157</v>
      </c>
      <c r="O20" s="144"/>
      <c r="P20" s="144"/>
      <c r="Q20" s="144"/>
      <c r="R20" s="144"/>
      <c r="S20" s="144"/>
      <c r="T20" s="144"/>
      <c r="U20" s="144"/>
      <c r="V20" s="145"/>
    </row>
    <row r="21" spans="2:22" ht="18" customHeight="1" x14ac:dyDescent="0.3">
      <c r="B21" s="143"/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5"/>
    </row>
    <row r="22" spans="2:22" ht="18" customHeight="1" thickBot="1" x14ac:dyDescent="0.35">
      <c r="B22" s="146" t="s">
        <v>85</v>
      </c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8" t="s">
        <v>84</v>
      </c>
    </row>
    <row r="23" spans="2:22" x14ac:dyDescent="0.3">
      <c r="B23" s="3"/>
      <c r="C23" s="3"/>
      <c r="D23" s="3"/>
      <c r="E23" s="3"/>
    </row>
    <row r="24" spans="2:22" x14ac:dyDescent="0.3">
      <c r="B24" s="3"/>
      <c r="C24" s="3"/>
      <c r="D24" s="3"/>
      <c r="E24" s="3"/>
    </row>
    <row r="25" spans="2:22" x14ac:dyDescent="0.3">
      <c r="B25" s="3"/>
      <c r="C25" s="3"/>
      <c r="D25" s="3"/>
      <c r="E25" s="3"/>
    </row>
    <row r="26" spans="2:22" x14ac:dyDescent="0.3">
      <c r="B26" s="3"/>
      <c r="C26" s="3"/>
      <c r="D26" s="3"/>
      <c r="E26" s="3"/>
    </row>
    <row r="27" spans="2:22" x14ac:dyDescent="0.3">
      <c r="B27" s="2"/>
      <c r="C27" s="2"/>
      <c r="D27" s="2"/>
      <c r="E27" s="2"/>
    </row>
    <row r="84" spans="12:12" ht="24.6" x14ac:dyDescent="0.3">
      <c r="L84" s="11" t="s">
        <v>93</v>
      </c>
    </row>
  </sheetData>
  <mergeCells count="1">
    <mergeCell ref="B1:V1"/>
  </mergeCells>
  <phoneticPr fontId="6" type="noConversion"/>
  <conditionalFormatting sqref="B2:V22">
    <cfRule type="duplicateValues" dxfId="39" priority="1"/>
    <cfRule type="expression" dxfId="38" priority="2">
      <formula>INDIRECT(ADDRESS(ROW(),COLUMN()))=0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CC08324D-71BA-4397-A93C-35B120201824}">
            <xm:f>COUNTIF(Spots!$A:$A,INDIRECT(ADDRESS(ROW(),COLUMN())))=0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B2:V22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errorTitle="Spot not found !" error="Please add this name to Spot list!" prompt="Enter spot name" xr:uid="{24FDCC2F-6F65-4CE7-86E0-670316AF280C}">
          <x14:formula1>
            <xm:f>Spots!$A:$A</xm:f>
          </x14:formula1>
          <xm:sqref>B2:V22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autoPageBreaks="0"/>
  </sheetPr>
  <dimension ref="A1:AH47"/>
  <sheetViews>
    <sheetView zoomScale="130" zoomScaleNormal="130" workbookViewId="0">
      <pane xSplit="5" topLeftCell="L1" activePane="topRight" state="frozen"/>
      <selection pane="topRight" activeCell="N1" sqref="N1"/>
    </sheetView>
  </sheetViews>
  <sheetFormatPr defaultColWidth="9.109375" defaultRowHeight="14.4" x14ac:dyDescent="0.3"/>
  <cols>
    <col min="1" max="1" width="12.21875" style="138" customWidth="1"/>
    <col min="2" max="2" width="5.44140625" style="18" customWidth="1"/>
    <col min="3" max="3" width="5.6640625" style="18" customWidth="1"/>
    <col min="4" max="4" width="9.77734375" style="133" customWidth="1"/>
    <col min="5" max="5" width="1.77734375" style="158" customWidth="1"/>
    <col min="6" max="6" width="54.21875" style="2" bestFit="1" customWidth="1"/>
    <col min="7" max="7" width="70.6640625" style="2" customWidth="1"/>
    <col min="8" max="8" width="19.21875" style="2" customWidth="1"/>
    <col min="9" max="9" width="11.44140625" style="2" customWidth="1"/>
    <col min="10" max="10" width="11.5546875" style="52" customWidth="1"/>
    <col min="11" max="11" width="24.33203125" style="139" customWidth="1"/>
    <col min="12" max="12" width="2.88671875" style="159" customWidth="1"/>
    <col min="13" max="13" width="9.109375" style="9"/>
    <col min="14" max="33" width="9.109375" style="3"/>
    <col min="34" max="34" width="13.21875" style="5" customWidth="1"/>
    <col min="35" max="16384" width="9.109375" style="2"/>
  </cols>
  <sheetData>
    <row r="1" spans="1:34" s="10" customFormat="1" ht="34.200000000000003" customHeight="1" x14ac:dyDescent="0.3">
      <c r="A1" s="161" t="s">
        <v>0</v>
      </c>
      <c r="B1" s="136" t="s">
        <v>73</v>
      </c>
      <c r="C1" s="136" t="s">
        <v>74</v>
      </c>
      <c r="D1" s="129" t="s">
        <v>46</v>
      </c>
      <c r="E1" s="155" t="s">
        <v>162</v>
      </c>
      <c r="F1" s="130" t="s">
        <v>1</v>
      </c>
      <c r="G1" s="131" t="s">
        <v>2</v>
      </c>
      <c r="H1" s="131" t="s">
        <v>3</v>
      </c>
      <c r="I1" s="132" t="s">
        <v>128</v>
      </c>
      <c r="J1" s="132" t="s">
        <v>101</v>
      </c>
      <c r="K1" s="164" t="s">
        <v>106</v>
      </c>
      <c r="L1" s="180" t="s">
        <v>163</v>
      </c>
      <c r="AH1" s="16"/>
    </row>
    <row r="2" spans="1:34" s="10" customFormat="1" ht="18.600000000000001" customHeight="1" x14ac:dyDescent="0.3">
      <c r="A2" s="128"/>
      <c r="B2" s="18"/>
      <c r="C2" s="18"/>
      <c r="D2" s="133"/>
      <c r="E2" s="156"/>
      <c r="F2" s="128"/>
      <c r="G2" s="128"/>
      <c r="H2" s="128"/>
      <c r="I2" s="134"/>
      <c r="J2" s="134"/>
      <c r="K2" s="134"/>
      <c r="L2" s="179"/>
      <c r="AH2" s="135"/>
    </row>
    <row r="3" spans="1:34" x14ac:dyDescent="0.3">
      <c r="A3" s="162" t="s">
        <v>5</v>
      </c>
      <c r="B3" s="18" cm="1">
        <f t="array" ref="B3">IF(INDEX(Paths!$AB$1:$AB$441,  MATCH(INDEX($A:$A,ROW()),  Paths!$Z$1:$Z$441,0),1)="",0,INDEX(Paths!$AB$1:$AB$441,  MATCH(INDEX($A:$A,ROW()),  Paths!$Z$1:$Z$441,0),1))</f>
        <v>0</v>
      </c>
      <c r="C3" s="18" cm="1">
        <f t="array" ref="C3">IF(INDEX(Paths!$AA$1:$AA$441,   MATCH(INDEX($A:$A,ROW()),  Paths!$Z$1:$Z$441,  0),  1)="",0,INDEX(Paths!$AA$1:$AA$441,   MATCH(INDEX($A:$A,ROW()),  Paths!$Z$1:$Z$441,  0),  1))</f>
        <v>0</v>
      </c>
      <c r="D3" s="133" t="str" cm="1">
        <f t="array" ref="D3">"["&amp;IF(INDEX($B:$B,ROW())="",0,INDEX($B:$B,ROW()))&amp;","&amp;IF(INDEX($C:$C,ROW())="",0,INDEX($C:$C,ROW()))&amp;"]"</f>
        <v>[0,0]</v>
      </c>
      <c r="E3" s="157"/>
      <c r="F3" s="7" t="s">
        <v>72</v>
      </c>
      <c r="G3" s="88" t="s">
        <v>129</v>
      </c>
      <c r="H3" s="6"/>
      <c r="J3" s="51"/>
      <c r="K3" s="51"/>
      <c r="L3" s="179"/>
      <c r="AH3" s="6"/>
    </row>
    <row r="4" spans="1:34" x14ac:dyDescent="0.3">
      <c r="A4" s="162" t="s">
        <v>6</v>
      </c>
      <c r="B4" s="18" cm="1">
        <f t="array" ref="B4">IF(INDEX(Paths!$AB$1:$AB$441,  MATCH(INDEX($A:$A,ROW()),  Paths!$Z$1:$Z$441,0),1)="",0,INDEX(Paths!$AB$1:$AB$441,  MATCH(INDEX($A:$A,ROW()),  Paths!$Z$1:$Z$441,0),1))</f>
        <v>1</v>
      </c>
      <c r="C4" s="18" cm="1">
        <f t="array" ref="C4">IF(INDEX(Paths!$AA$1:$AA$441,   MATCH(INDEX($A:$A,ROW()),  Paths!$Z$1:$Z$441,  0),  1)="",0,INDEX(Paths!$AA$1:$AA$441,   MATCH(INDEX($A:$A,ROW()),  Paths!$Z$1:$Z$441,  0),  1))</f>
        <v>0</v>
      </c>
      <c r="D4" s="133" t="str" cm="1">
        <f t="array" ref="D4">"["&amp;IF(INDEX($B:$B,ROW())="",0,INDEX($B:$B,ROW()))&amp;","&amp;IF(INDEX($C:$C,ROW())="",0,INDEX($C:$C,ROW()))&amp;"]"</f>
        <v>[1,0]</v>
      </c>
      <c r="E4" s="157"/>
      <c r="F4" s="8" t="s">
        <v>6</v>
      </c>
      <c r="G4" s="88" t="s">
        <v>130</v>
      </c>
      <c r="H4" s="6"/>
      <c r="J4" s="51"/>
      <c r="K4" s="51"/>
      <c r="L4" s="179"/>
      <c r="AH4" s="6"/>
    </row>
    <row r="5" spans="1:34" x14ac:dyDescent="0.3">
      <c r="A5" s="162" t="s">
        <v>7</v>
      </c>
      <c r="B5" s="18" cm="1">
        <f t="array" ref="B5">IF(INDEX(Paths!$AB$1:$AB$441,  MATCH(INDEX($A:$A,ROW()),  Paths!$Z$1:$Z$441,0),1)="",0,INDEX(Paths!$AB$1:$AB$441,  MATCH(INDEX($A:$A,ROW()),  Paths!$Z$1:$Z$441,0),1))</f>
        <v>2</v>
      </c>
      <c r="C5" s="18" cm="1">
        <f t="array" ref="C5">IF(INDEX(Paths!$AA$1:$AA$441,   MATCH(INDEX($A:$A,ROW()),  Paths!$Z$1:$Z$441,  0),  1)="",0,INDEX(Paths!$AA$1:$AA$441,   MATCH(INDEX($A:$A,ROW()),  Paths!$Z$1:$Z$441,  0),  1))</f>
        <v>0</v>
      </c>
      <c r="D5" s="133" t="str" cm="1">
        <f t="array" ref="D5">"["&amp;IF(INDEX($B:$B,ROW())="",0,INDEX($B:$B,ROW()))&amp;","&amp;IF(INDEX($C:$C,ROW())="",0,INDEX($C:$C,ROW()))&amp;"]"</f>
        <v>[2,0]</v>
      </c>
      <c r="E5" s="157"/>
      <c r="F5" s="8" t="s">
        <v>58</v>
      </c>
      <c r="G5" s="88" t="s">
        <v>131</v>
      </c>
      <c r="H5" s="6"/>
      <c r="J5" s="51"/>
      <c r="K5" s="51"/>
      <c r="L5" s="179"/>
      <c r="AH5" s="6"/>
    </row>
    <row r="6" spans="1:34" x14ac:dyDescent="0.3">
      <c r="A6" s="162" t="s">
        <v>8</v>
      </c>
      <c r="B6" s="18" cm="1">
        <f t="array" ref="B6">IF(INDEX(Paths!$AB$1:$AB$441,  MATCH(INDEX($A:$A,ROW()),  Paths!$Z$1:$Z$441,0),1)="",0,INDEX(Paths!$AB$1:$AB$441,  MATCH(INDEX($A:$A,ROW()),  Paths!$Z$1:$Z$441,0),1))</f>
        <v>3</v>
      </c>
      <c r="C6" s="18" cm="1">
        <f t="array" ref="C6">IF(INDEX(Paths!$AA$1:$AA$441,   MATCH(INDEX($A:$A,ROW()),  Paths!$Z$1:$Z$441,  0),  1)="",0,INDEX(Paths!$AA$1:$AA$441,   MATCH(INDEX($A:$A,ROW()),  Paths!$Z$1:$Z$441,  0),  1))</f>
        <v>0</v>
      </c>
      <c r="D6" s="133" t="str" cm="1">
        <f t="array" ref="D6">"["&amp;IF(INDEX($B:$B,ROW())="",0,INDEX($B:$B,ROW()))&amp;","&amp;IF(INDEX($C:$C,ROW())="",0,INDEX($C:$C,ROW()))&amp;"]"</f>
        <v>[3,0]</v>
      </c>
      <c r="E6" s="157"/>
      <c r="F6" s="8" t="s">
        <v>8</v>
      </c>
      <c r="G6" s="88" t="s">
        <v>132</v>
      </c>
      <c r="H6" s="6"/>
      <c r="J6" s="51"/>
      <c r="K6" s="51"/>
      <c r="L6" s="179"/>
      <c r="AH6" s="6"/>
    </row>
    <row r="7" spans="1:34" x14ac:dyDescent="0.3">
      <c r="A7" s="162"/>
      <c r="E7" s="157"/>
      <c r="F7" s="8"/>
      <c r="G7" s="88"/>
      <c r="H7" s="6"/>
      <c r="J7" s="51"/>
      <c r="K7" s="51"/>
      <c r="L7" s="179"/>
      <c r="AH7" s="6"/>
    </row>
    <row r="8" spans="1:34" x14ac:dyDescent="0.3">
      <c r="A8" s="162" t="s">
        <v>9</v>
      </c>
      <c r="B8" s="18" cm="1">
        <f t="array" ref="B8">IF(INDEX(Paths!$AB$1:$AB$441,  MATCH(INDEX($A:$A,ROW()),  Paths!$Z$1:$Z$441,0),1)="",0,INDEX(Paths!$AB$1:$AB$441,  MATCH(INDEX($A:$A,ROW()),  Paths!$Z$1:$Z$441,0),1))</f>
        <v>1</v>
      </c>
      <c r="C8" s="18" cm="1">
        <f t="array" ref="C8">IF(INDEX(Paths!$AA$1:$AA$441,   MATCH(INDEX($A:$A,ROW()),  Paths!$Z$1:$Z$441,  0),  1)="",0,INDEX(Paths!$AA$1:$AA$441,   MATCH(INDEX($A:$A,ROW()),  Paths!$Z$1:$Z$441,  0),  1))</f>
        <v>1</v>
      </c>
      <c r="D8" s="133" t="str" cm="1">
        <f t="array" ref="D8">"["&amp;IF(INDEX($B:$B,ROW())="",0,INDEX($B:$B,ROW()))&amp;","&amp;IF(INDEX($C:$C,ROW())="",0,INDEX($C:$C,ROW()))&amp;"]"</f>
        <v>[1,1]</v>
      </c>
      <c r="E8" s="157"/>
      <c r="F8" s="7" t="s">
        <v>59</v>
      </c>
      <c r="G8" s="88" t="s">
        <v>133</v>
      </c>
      <c r="H8" s="6" t="s">
        <v>10</v>
      </c>
      <c r="J8" s="51"/>
      <c r="K8" s="51"/>
      <c r="L8" s="179"/>
      <c r="AH8" s="6"/>
    </row>
    <row r="9" spans="1:34" x14ac:dyDescent="0.3">
      <c r="A9" s="162" t="s">
        <v>11</v>
      </c>
      <c r="B9" s="18" cm="1">
        <f t="array" ref="B9">IF(INDEX(Paths!$AB$1:$AB$441,  MATCH(INDEX($A:$A,ROW()),  Paths!$Z$1:$Z$441,0),1)="",0,INDEX(Paths!$AB$1:$AB$441,  MATCH(INDEX($A:$A,ROW()),  Paths!$Z$1:$Z$441,0),1))</f>
        <v>1</v>
      </c>
      <c r="C9" s="18" cm="1">
        <f t="array" ref="C9">IF(INDEX(Paths!$AA$1:$AA$441,   MATCH(INDEX($A:$A,ROW()),  Paths!$Z$1:$Z$441,  0),  1)="",0,INDEX(Paths!$AA$1:$AA$441,   MATCH(INDEX($A:$A,ROW()),  Paths!$Z$1:$Z$441,  0),  1))</f>
        <v>2</v>
      </c>
      <c r="D9" s="133" t="str" cm="1">
        <f t="array" ref="D9">"["&amp;IF(INDEX($B:$B,ROW())="",0,INDEX($B:$B,ROW()))&amp;","&amp;IF(INDEX($C:$C,ROW())="",0,INDEX($C:$C,ROW()))&amp;"]"</f>
        <v>[1,2]</v>
      </c>
      <c r="E9" s="157"/>
      <c r="F9" s="7" t="s">
        <v>60</v>
      </c>
      <c r="G9" s="88" t="s">
        <v>134</v>
      </c>
      <c r="H9" s="6" t="s">
        <v>12</v>
      </c>
      <c r="J9" s="51"/>
      <c r="K9" s="51"/>
      <c r="L9" s="179"/>
      <c r="AH9" s="6"/>
    </row>
    <row r="10" spans="1:34" x14ac:dyDescent="0.3">
      <c r="A10" s="162" t="s">
        <v>13</v>
      </c>
      <c r="B10" s="18" cm="1">
        <f t="array" ref="B10">IF(INDEX(Paths!$AB$1:$AB$441,  MATCH(INDEX($A:$A,ROW()),  Paths!$Z$1:$Z$441,0),1)="",0,INDEX(Paths!$AB$1:$AB$441,  MATCH(INDEX($A:$A,ROW()),  Paths!$Z$1:$Z$441,0),1))</f>
        <v>1</v>
      </c>
      <c r="C10" s="18" cm="1">
        <f t="array" ref="C10">IF(INDEX(Paths!$AA$1:$AA$441,   MATCH(INDEX($A:$A,ROW()),  Paths!$Z$1:$Z$441,  0),  1)="",0,INDEX(Paths!$AA$1:$AA$441,   MATCH(INDEX($A:$A,ROW()),  Paths!$Z$1:$Z$441,  0),  1))</f>
        <v>3</v>
      </c>
      <c r="D10" s="133" t="str" cm="1">
        <f t="array" ref="D10">"["&amp;IF(INDEX($B:$B,ROW())="",0,INDEX($B:$B,ROW()))&amp;","&amp;IF(INDEX($C:$C,ROW())="",0,INDEX($C:$C,ROW()))&amp;"]"</f>
        <v>[1,3]</v>
      </c>
      <c r="E10" s="157"/>
      <c r="F10" s="7" t="s">
        <v>61</v>
      </c>
      <c r="G10" s="88" t="s">
        <v>135</v>
      </c>
      <c r="H10" s="6" t="s">
        <v>14</v>
      </c>
      <c r="J10" s="51"/>
      <c r="K10" s="51"/>
      <c r="L10" s="179"/>
      <c r="AH10" s="6"/>
    </row>
    <row r="11" spans="1:34" x14ac:dyDescent="0.3">
      <c r="A11" s="162" t="s">
        <v>15</v>
      </c>
      <c r="B11" s="18" cm="1">
        <f t="array" ref="B11">IF(INDEX(Paths!$AB$1:$AB$441,  MATCH(INDEX($A:$A,ROW()),  Paths!$Z$1:$Z$441,0),1)="",0,INDEX(Paths!$AB$1:$AB$441,  MATCH(INDEX($A:$A,ROW()),  Paths!$Z$1:$Z$441,0),1))</f>
        <v>1</v>
      </c>
      <c r="C11" s="18" cm="1">
        <f t="array" ref="C11">IF(INDEX(Paths!$AA$1:$AA$441,   MATCH(INDEX($A:$A,ROW()),  Paths!$Z$1:$Z$441,  0),  1)="",0,INDEX(Paths!$AA$1:$AA$441,   MATCH(INDEX($A:$A,ROW()),  Paths!$Z$1:$Z$441,  0),  1))</f>
        <v>4</v>
      </c>
      <c r="D11" s="133" t="str" cm="1">
        <f t="array" ref="D11">"["&amp;IF(INDEX($B:$B,ROW())="",0,INDEX($B:$B,ROW()))&amp;","&amp;IF(INDEX($C:$C,ROW())="",0,INDEX($C:$C,ROW()))&amp;"]"</f>
        <v>[1,4]</v>
      </c>
      <c r="E11" s="157"/>
      <c r="F11" s="7" t="s">
        <v>62</v>
      </c>
      <c r="G11" s="88" t="s">
        <v>136</v>
      </c>
      <c r="H11" s="6" t="s">
        <v>16</v>
      </c>
      <c r="J11" s="51"/>
      <c r="K11" s="51"/>
      <c r="L11" s="179"/>
      <c r="AH11" s="6"/>
    </row>
    <row r="12" spans="1:34" x14ac:dyDescent="0.3">
      <c r="A12" s="162" t="s">
        <v>17</v>
      </c>
      <c r="B12" s="18" cm="1">
        <f t="array" ref="B12">IF(INDEX(Paths!$AB$1:$AB$441,  MATCH(INDEX($A:$A,ROW()),  Paths!$Z$1:$Z$441,0),1)="",0,INDEX(Paths!$AB$1:$AB$441,  MATCH(INDEX($A:$A,ROW()),  Paths!$Z$1:$Z$441,0),1))</f>
        <v>1</v>
      </c>
      <c r="C12" s="18" cm="1">
        <f t="array" ref="C12">IF(INDEX(Paths!$AA$1:$AA$441,   MATCH(INDEX($A:$A,ROW()),  Paths!$Z$1:$Z$441,  0),  1)="",0,INDEX(Paths!$AA$1:$AA$441,   MATCH(INDEX($A:$A,ROW()),  Paths!$Z$1:$Z$441,  0),  1))</f>
        <v>5</v>
      </c>
      <c r="D12" s="133" t="str" cm="1">
        <f t="array" ref="D12">"["&amp;IF(INDEX($B:$B,ROW())="",0,INDEX($B:$B,ROW()))&amp;","&amp;IF(INDEX($C:$C,ROW())="",0,INDEX($C:$C,ROW()))&amp;"]"</f>
        <v>[1,5]</v>
      </c>
      <c r="E12" s="157"/>
      <c r="F12" s="7" t="s">
        <v>63</v>
      </c>
      <c r="G12" s="88" t="s">
        <v>137</v>
      </c>
      <c r="H12" s="6" t="s">
        <v>18</v>
      </c>
      <c r="J12" s="51"/>
      <c r="K12" s="51"/>
      <c r="L12" s="179"/>
      <c r="AH12" s="6"/>
    </row>
    <row r="13" spans="1:34" x14ac:dyDescent="0.3">
      <c r="A13" s="162" t="s">
        <v>19</v>
      </c>
      <c r="B13" s="18" cm="1">
        <f t="array" ref="B13">IF(INDEX(Paths!$AB$1:$AB$441,  MATCH(INDEX($A:$A,ROW()),  Paths!$Z$1:$Z$441,0),1)="",0,INDEX(Paths!$AB$1:$AB$441,  MATCH(INDEX($A:$A,ROW()),  Paths!$Z$1:$Z$441,0),1))</f>
        <v>1</v>
      </c>
      <c r="C13" s="18" cm="1">
        <f t="array" ref="C13">IF(INDEX(Paths!$AA$1:$AA$441,   MATCH(INDEX($A:$A,ROW()),  Paths!$Z$1:$Z$441,  0),  1)="",0,INDEX(Paths!$AA$1:$AA$441,   MATCH(INDEX($A:$A,ROW()),  Paths!$Z$1:$Z$441,  0),  1))</f>
        <v>6</v>
      </c>
      <c r="D13" s="133" t="str" cm="1">
        <f t="array" ref="D13">"["&amp;IF(INDEX($B:$B,ROW())="",0,INDEX($B:$B,ROW()))&amp;","&amp;IF(INDEX($C:$C,ROW())="",0,INDEX($C:$C,ROW()))&amp;"]"</f>
        <v>[1,6]</v>
      </c>
      <c r="E13" s="157"/>
      <c r="F13" s="7" t="s">
        <v>64</v>
      </c>
      <c r="G13" s="88" t="s">
        <v>138</v>
      </c>
      <c r="H13" s="6" t="s">
        <v>20</v>
      </c>
      <c r="J13" s="51"/>
      <c r="K13" s="51"/>
      <c r="L13" s="179"/>
      <c r="AH13" s="6"/>
    </row>
    <row r="14" spans="1:34" x14ac:dyDescent="0.3">
      <c r="A14" s="162"/>
      <c r="E14" s="157"/>
      <c r="F14" s="7"/>
      <c r="G14" s="88"/>
      <c r="H14" s="6"/>
      <c r="J14" s="51"/>
      <c r="K14" s="51"/>
      <c r="L14" s="179"/>
      <c r="AH14" s="6"/>
    </row>
    <row r="15" spans="1:34" x14ac:dyDescent="0.3">
      <c r="A15" s="162" t="s">
        <v>21</v>
      </c>
      <c r="B15" s="18" cm="1">
        <f t="array" ref="B15">IF(INDEX(Paths!$AB$1:$AB$441,  MATCH(INDEX($A:$A,ROW()),  Paths!$Z$1:$Z$441,0),1)="",0,INDEX(Paths!$AB$1:$AB$441,  MATCH(INDEX($A:$A,ROW()),  Paths!$Z$1:$Z$441,0),1))</f>
        <v>2</v>
      </c>
      <c r="C15" s="18" cm="1">
        <f t="array" ref="C15">IF(INDEX(Paths!$AA$1:$AA$441,   MATCH(INDEX($A:$A,ROW()),  Paths!$Z$1:$Z$441,  0),  1)="",0,INDEX(Paths!$AA$1:$AA$441,   MATCH(INDEX($A:$A,ROW()),  Paths!$Z$1:$Z$441,  0),  1))</f>
        <v>-1</v>
      </c>
      <c r="D15" s="133" t="str" cm="1">
        <f t="array" ref="D15">"["&amp;IF(INDEX($B:$B,ROW())="",0,INDEX($B:$B,ROW()))&amp;","&amp;IF(INDEX($C:$C,ROW())="",0,INDEX($C:$C,ROW()))&amp;"]"</f>
        <v>[2,-1]</v>
      </c>
      <c r="E15" s="157"/>
      <c r="F15" s="7" t="s">
        <v>65</v>
      </c>
      <c r="G15" s="88" t="s">
        <v>139</v>
      </c>
      <c r="H15" s="6" t="s">
        <v>22</v>
      </c>
      <c r="J15" s="51"/>
      <c r="K15" s="51"/>
      <c r="L15" s="179"/>
      <c r="AH15" s="6"/>
    </row>
    <row r="16" spans="1:34" x14ac:dyDescent="0.3">
      <c r="A16" s="162" t="s">
        <v>23</v>
      </c>
      <c r="B16" s="18" cm="1">
        <f t="array" ref="B16">IF(INDEX(Paths!$AB$1:$AB$441,  MATCH(INDEX($A:$A,ROW()),  Paths!$Z$1:$Z$441,0),1)="",0,INDEX(Paths!$AB$1:$AB$441,  MATCH(INDEX($A:$A,ROW()),  Paths!$Z$1:$Z$441,0),1))</f>
        <v>2</v>
      </c>
      <c r="C16" s="18" cm="1">
        <f t="array" ref="C16">IF(INDEX(Paths!$AA$1:$AA$441,   MATCH(INDEX($A:$A,ROW()),  Paths!$Z$1:$Z$441,  0),  1)="",0,INDEX(Paths!$AA$1:$AA$441,   MATCH(INDEX($A:$A,ROW()),  Paths!$Z$1:$Z$441,  0),  1))</f>
        <v>-2</v>
      </c>
      <c r="D16" s="133" t="str" cm="1">
        <f t="array" ref="D16">"["&amp;IF(INDEX($B:$B,ROW())="",0,INDEX($B:$B,ROW()))&amp;","&amp;IF(INDEX($C:$C,ROW())="",0,INDEX($C:$C,ROW()))&amp;"]"</f>
        <v>[2,-2]</v>
      </c>
      <c r="E16" s="157"/>
      <c r="F16" s="7" t="s">
        <v>66</v>
      </c>
      <c r="G16" s="88" t="s">
        <v>140</v>
      </c>
      <c r="H16" s="6" t="s">
        <v>24</v>
      </c>
      <c r="J16" s="51"/>
      <c r="K16" s="51"/>
      <c r="L16" s="179"/>
      <c r="AH16" s="6"/>
    </row>
    <row r="17" spans="1:34" x14ac:dyDescent="0.3">
      <c r="A17" s="162" t="s">
        <v>25</v>
      </c>
      <c r="B17" s="18" cm="1">
        <f t="array" ref="B17">IF(INDEX(Paths!$AB$1:$AB$441,  MATCH(INDEX($A:$A,ROW()),  Paths!$Z$1:$Z$441,0),1)="",0,INDEX(Paths!$AB$1:$AB$441,  MATCH(INDEX($A:$A,ROW()),  Paths!$Z$1:$Z$441,0),1))</f>
        <v>2</v>
      </c>
      <c r="C17" s="18" cm="1">
        <f t="array" ref="C17">IF(INDEX(Paths!$AA$1:$AA$441,   MATCH(INDEX($A:$A,ROW()),  Paths!$Z$1:$Z$441,  0),  1)="",0,INDEX(Paths!$AA$1:$AA$441,   MATCH(INDEX($A:$A,ROW()),  Paths!$Z$1:$Z$441,  0),  1))</f>
        <v>-3</v>
      </c>
      <c r="D17" s="133" t="str" cm="1">
        <f t="array" ref="D17">"["&amp;IF(INDEX($B:$B,ROW())="",0,INDEX($B:$B,ROW()))&amp;","&amp;IF(INDEX($C:$C,ROW())="",0,INDEX($C:$C,ROW()))&amp;"]"</f>
        <v>[2,-3]</v>
      </c>
      <c r="E17" s="157"/>
      <c r="F17" s="7" t="s">
        <v>67</v>
      </c>
      <c r="G17" s="88" t="s">
        <v>141</v>
      </c>
      <c r="H17" s="6" t="s">
        <v>26</v>
      </c>
      <c r="J17" s="51"/>
      <c r="K17" s="51"/>
      <c r="L17" s="179"/>
      <c r="AH17" s="6"/>
    </row>
    <row r="18" spans="1:34" x14ac:dyDescent="0.3">
      <c r="A18" s="162" t="s">
        <v>27</v>
      </c>
      <c r="B18" s="18" cm="1">
        <f t="array" ref="B18">IF(INDEX(Paths!$AB$1:$AB$441,  MATCH(INDEX($A:$A,ROW()),  Paths!$Z$1:$Z$441,0),1)="",0,INDEX(Paths!$AB$1:$AB$441,  MATCH(INDEX($A:$A,ROW()),  Paths!$Z$1:$Z$441,0),1))</f>
        <v>2</v>
      </c>
      <c r="C18" s="18" cm="1">
        <f t="array" ref="C18">IF(INDEX(Paths!$AA$1:$AA$441,   MATCH(INDEX($A:$A,ROW()),  Paths!$Z$1:$Z$441,  0),  1)="",0,INDEX(Paths!$AA$1:$AA$441,   MATCH(INDEX($A:$A,ROW()),  Paths!$Z$1:$Z$441,  0),  1))</f>
        <v>-4</v>
      </c>
      <c r="D18" s="133" t="str" cm="1">
        <f t="array" ref="D18">"["&amp;IF(INDEX($B:$B,ROW())="",0,INDEX($B:$B,ROW()))&amp;","&amp;IF(INDEX($C:$C,ROW())="",0,INDEX($C:$C,ROW()))&amp;"]"</f>
        <v>[2,-4]</v>
      </c>
      <c r="E18" s="157"/>
      <c r="F18" s="7" t="s">
        <v>68</v>
      </c>
      <c r="G18" s="88" t="s">
        <v>142</v>
      </c>
      <c r="H18" s="6" t="s">
        <v>28</v>
      </c>
      <c r="J18" s="51"/>
      <c r="K18" s="51"/>
      <c r="L18" s="179"/>
      <c r="AH18" s="6"/>
    </row>
    <row r="19" spans="1:34" x14ac:dyDescent="0.3">
      <c r="A19" s="162" t="s">
        <v>29</v>
      </c>
      <c r="B19" s="18" cm="1">
        <f t="array" ref="B19">IF(INDEX(Paths!$AB$1:$AB$441,  MATCH(INDEX($A:$A,ROW()),  Paths!$Z$1:$Z$441,0),1)="",0,INDEX(Paths!$AB$1:$AB$441,  MATCH(INDEX($A:$A,ROW()),  Paths!$Z$1:$Z$441,0),1))</f>
        <v>2</v>
      </c>
      <c r="C19" s="18" cm="1">
        <f t="array" ref="C19">IF(INDEX(Paths!$AA$1:$AA$441,   MATCH(INDEX($A:$A,ROW()),  Paths!$Z$1:$Z$441,  0),  1)="",0,INDEX(Paths!$AA$1:$AA$441,   MATCH(INDEX($A:$A,ROW()),  Paths!$Z$1:$Z$441,  0),  1))</f>
        <v>-5</v>
      </c>
      <c r="D19" s="133" t="str" cm="1">
        <f t="array" ref="D19">"["&amp;IF(INDEX($B:$B,ROW())="",0,INDEX($B:$B,ROW()))&amp;","&amp;IF(INDEX($C:$C,ROW())="",0,INDEX($C:$C,ROW()))&amp;"]"</f>
        <v>[2,-5]</v>
      </c>
      <c r="E19" s="157"/>
      <c r="F19" s="7" t="s">
        <v>70</v>
      </c>
      <c r="G19" s="88" t="s">
        <v>143</v>
      </c>
      <c r="H19" s="6" t="s">
        <v>30</v>
      </c>
      <c r="J19" s="51"/>
      <c r="K19" s="51"/>
      <c r="L19" s="179"/>
      <c r="AH19" s="6"/>
    </row>
    <row r="20" spans="1:34" x14ac:dyDescent="0.3">
      <c r="A20" s="162" t="s">
        <v>31</v>
      </c>
      <c r="B20" s="18" cm="1">
        <f t="array" ref="B20">IF(INDEX(Paths!$AB$1:$AB$441,  MATCH(INDEX($A:$A,ROW()),  Paths!$Z$1:$Z$441,0),1)="",0,INDEX(Paths!$AB$1:$AB$441,  MATCH(INDEX($A:$A,ROW()),  Paths!$Z$1:$Z$441,0),1))</f>
        <v>2</v>
      </c>
      <c r="C20" s="18" cm="1">
        <f t="array" ref="C20">IF(INDEX(Paths!$AA$1:$AA$441,   MATCH(INDEX($A:$A,ROW()),  Paths!$Z$1:$Z$441,  0),  1)="",0,INDEX(Paths!$AA$1:$AA$441,   MATCH(INDEX($A:$A,ROW()),  Paths!$Z$1:$Z$441,  0),  1))</f>
        <v>-6</v>
      </c>
      <c r="D20" s="133" t="str" cm="1">
        <f t="array" ref="D20">"["&amp;IF(INDEX($B:$B,ROW())="",0,INDEX($B:$B,ROW()))&amp;","&amp;IF(INDEX($C:$C,ROW())="",0,INDEX($C:$C,ROW()))&amp;"]"</f>
        <v>[2,-6]</v>
      </c>
      <c r="E20" s="157"/>
      <c r="F20" s="7" t="s">
        <v>69</v>
      </c>
      <c r="G20" s="88" t="s">
        <v>144</v>
      </c>
      <c r="H20" s="6" t="s">
        <v>32</v>
      </c>
      <c r="J20" s="51"/>
      <c r="K20" s="51"/>
      <c r="L20" s="179"/>
      <c r="AH20" s="6"/>
    </row>
    <row r="21" spans="1:34" x14ac:dyDescent="0.3">
      <c r="A21" s="162"/>
      <c r="E21" s="157"/>
      <c r="F21" s="7"/>
      <c r="G21" s="88"/>
      <c r="H21" s="6"/>
      <c r="J21" s="51"/>
      <c r="K21" s="51"/>
      <c r="L21" s="179"/>
      <c r="AH21" s="6"/>
    </row>
    <row r="22" spans="1:34" x14ac:dyDescent="0.3">
      <c r="A22" s="162" t="s">
        <v>33</v>
      </c>
      <c r="B22" s="18" cm="1">
        <f t="array" ref="B22">IF(INDEX(Paths!$AB$1:$AB$441,  MATCH(INDEX($A:$A,ROW()),  Paths!$Z$1:$Z$441,0),1)="",0,INDEX(Paths!$AB$1:$AB$441,  MATCH(INDEX($A:$A,ROW()),  Paths!$Z$1:$Z$441,0),1))</f>
        <v>3</v>
      </c>
      <c r="C22" s="18" cm="1">
        <f t="array" ref="C22">IF(INDEX(Paths!$AA$1:$AA$441,   MATCH(INDEX($A:$A,ROW()),  Paths!$Z$1:$Z$441,  0),  1)="",0,INDEX(Paths!$AA$1:$AA$441,   MATCH(INDEX($A:$A,ROW()),  Paths!$Z$1:$Z$441,  0),  1))</f>
        <v>1</v>
      </c>
      <c r="D22" s="133" t="str" cm="1">
        <f t="array" ref="D22">"["&amp;IF(INDEX($B:$B,ROW())="",0,INDEX($B:$B,ROW()))&amp;","&amp;IF(INDEX($C:$C,ROW())="",0,INDEX($C:$C,ROW()))&amp;"]"</f>
        <v>[3,1]</v>
      </c>
      <c r="E22" s="157"/>
      <c r="F22" s="7" t="s">
        <v>71</v>
      </c>
      <c r="G22" s="88" t="s">
        <v>145</v>
      </c>
      <c r="H22" s="6" t="s">
        <v>34</v>
      </c>
      <c r="J22" s="51"/>
      <c r="K22" s="51"/>
      <c r="L22" s="179"/>
      <c r="AH22" s="6"/>
    </row>
    <row r="23" spans="1:34" x14ac:dyDescent="0.3">
      <c r="A23" s="162" t="s">
        <v>35</v>
      </c>
      <c r="B23" s="18" cm="1">
        <f t="array" ref="B23">IF(INDEX(Paths!$AB$1:$AB$441,  MATCH(INDEX($A:$A,ROW()),  Paths!$Z$1:$Z$441,0),1)="",0,INDEX(Paths!$AB$1:$AB$441,  MATCH(INDEX($A:$A,ROW()),  Paths!$Z$1:$Z$441,0),1))</f>
        <v>3</v>
      </c>
      <c r="C23" s="18" cm="1">
        <f t="array" ref="C23">IF(INDEX(Paths!$AA$1:$AA$441,   MATCH(INDEX($A:$A,ROW()),  Paths!$Z$1:$Z$441,  0),  1)="",0,INDEX(Paths!$AA$1:$AA$441,   MATCH(INDEX($A:$A,ROW()),  Paths!$Z$1:$Z$441,  0),  1))</f>
        <v>2</v>
      </c>
      <c r="D23" s="133" t="str" cm="1">
        <f t="array" ref="D23">"["&amp;IF(INDEX($B:$B,ROW())="",0,INDEX($B:$B,ROW()))&amp;","&amp;IF(INDEX($C:$C,ROW())="",0,INDEX($C:$C,ROW()))&amp;"]"</f>
        <v>[3,2]</v>
      </c>
      <c r="E23" s="157"/>
      <c r="F23" s="8" t="s">
        <v>36</v>
      </c>
      <c r="G23" s="88" t="s">
        <v>146</v>
      </c>
      <c r="H23" s="6" t="s">
        <v>37</v>
      </c>
      <c r="J23" s="51"/>
      <c r="K23" s="51"/>
      <c r="L23" s="179"/>
      <c r="AH23" s="6"/>
    </row>
    <row r="24" spans="1:34" x14ac:dyDescent="0.3">
      <c r="A24" s="162" t="s">
        <v>38</v>
      </c>
      <c r="B24" s="18" cm="1">
        <f t="array" ref="B24">IF(INDEX(Paths!$AB$1:$AB$441,  MATCH(INDEX($A:$A,ROW()),  Paths!$Z$1:$Z$441,0),1)="",0,INDEX(Paths!$AB$1:$AB$441,  MATCH(INDEX($A:$A,ROW()),  Paths!$Z$1:$Z$441,0),1))</f>
        <v>3</v>
      </c>
      <c r="C24" s="18" cm="1">
        <f t="array" ref="C24">IF(INDEX(Paths!$AA$1:$AA$441,   MATCH(INDEX($A:$A,ROW()),  Paths!$Z$1:$Z$441,  0),  1)="",0,INDEX(Paths!$AA$1:$AA$441,   MATCH(INDEX($A:$A,ROW()),  Paths!$Z$1:$Z$441,  0),  1))</f>
        <v>3</v>
      </c>
      <c r="D24" s="133" t="str" cm="1">
        <f t="array" ref="D24">"["&amp;IF(INDEX($B:$B,ROW())="",0,INDEX($B:$B,ROW()))&amp;","&amp;IF(INDEX($C:$C,ROW())="",0,INDEX($C:$C,ROW()))&amp;"]"</f>
        <v>[3,3]</v>
      </c>
      <c r="E24" s="157"/>
      <c r="F24" s="8" t="s">
        <v>39</v>
      </c>
      <c r="G24" s="88" t="s">
        <v>147</v>
      </c>
      <c r="H24" s="6" t="s">
        <v>37</v>
      </c>
      <c r="J24" s="51"/>
      <c r="K24" s="51"/>
      <c r="L24" s="179"/>
      <c r="AH24" s="6"/>
    </row>
    <row r="25" spans="1:34" x14ac:dyDescent="0.3">
      <c r="A25" s="162" t="s">
        <v>40</v>
      </c>
      <c r="B25" s="18" cm="1">
        <f t="array" ref="B25">IF(INDEX(Paths!$AB$1:$AB$441,  MATCH(INDEX($A:$A,ROW()),  Paths!$Z$1:$Z$441,0),1)="",0,INDEX(Paths!$AB$1:$AB$441,  MATCH(INDEX($A:$A,ROW()),  Paths!$Z$1:$Z$441,0),1))</f>
        <v>3</v>
      </c>
      <c r="C25" s="18" cm="1">
        <f t="array" ref="C25">IF(INDEX(Paths!$AA$1:$AA$441,   MATCH(INDEX($A:$A,ROW()),  Paths!$Z$1:$Z$441,  0),  1)="",0,INDEX(Paths!$AA$1:$AA$441,   MATCH(INDEX($A:$A,ROW()),  Paths!$Z$1:$Z$441,  0),  1))</f>
        <v>4</v>
      </c>
      <c r="D25" s="133" t="str" cm="1">
        <f t="array" ref="D25">"["&amp;IF(INDEX($B:$B,ROW())="",0,INDEX($B:$B,ROW()))&amp;","&amp;IF(INDEX($C:$C,ROW())="",0,INDEX($C:$C,ROW()))&amp;"]"</f>
        <v>[3,4]</v>
      </c>
      <c r="E25" s="157"/>
      <c r="F25" s="8" t="s">
        <v>41</v>
      </c>
      <c r="G25" s="88" t="s">
        <v>148</v>
      </c>
      <c r="H25" s="6" t="s">
        <v>37</v>
      </c>
      <c r="J25" s="51"/>
      <c r="K25" s="51"/>
      <c r="L25" s="179"/>
      <c r="AH25" s="6"/>
    </row>
    <row r="26" spans="1:34" x14ac:dyDescent="0.3">
      <c r="A26" s="162" t="s">
        <v>42</v>
      </c>
      <c r="B26" s="18" cm="1">
        <f t="array" ref="B26">IF(INDEX(Paths!$AB$1:$AB$441,  MATCH(INDEX($A:$A,ROW()),  Paths!$Z$1:$Z$441,0),1)="",0,INDEX(Paths!$AB$1:$AB$441,  MATCH(INDEX($A:$A,ROW()),  Paths!$Z$1:$Z$441,0),1))</f>
        <v>3</v>
      </c>
      <c r="C26" s="18" cm="1">
        <f t="array" ref="C26">IF(INDEX(Paths!$AA$1:$AA$441,   MATCH(INDEX($A:$A,ROW()),  Paths!$Z$1:$Z$441,  0),  1)="",0,INDEX(Paths!$AA$1:$AA$441,   MATCH(INDEX($A:$A,ROW()),  Paths!$Z$1:$Z$441,  0),  1))</f>
        <v>5</v>
      </c>
      <c r="D26" s="133" t="str" cm="1">
        <f t="array" ref="D26">"["&amp;IF(INDEX($B:$B,ROW())="",0,INDEX($B:$B,ROW()))&amp;","&amp;IF(INDEX($C:$C,ROW())="",0,INDEX($C:$C,ROW()))&amp;"]"</f>
        <v>[3,5]</v>
      </c>
      <c r="E26" s="157"/>
      <c r="F26" s="8" t="s">
        <v>43</v>
      </c>
      <c r="G26" s="88" t="s">
        <v>149</v>
      </c>
      <c r="H26" s="6" t="s">
        <v>37</v>
      </c>
      <c r="J26" s="51"/>
      <c r="K26" s="51"/>
      <c r="L26" s="179"/>
      <c r="AH26" s="6"/>
    </row>
    <row r="27" spans="1:34" x14ac:dyDescent="0.3">
      <c r="A27" s="162" t="s">
        <v>44</v>
      </c>
      <c r="B27" s="18" cm="1">
        <f t="array" ref="B27">IF(INDEX(Paths!$AB$1:$AB$441,  MATCH(INDEX($A:$A,ROW()),  Paths!$Z$1:$Z$441,0),1)="",0,INDEX(Paths!$AB$1:$AB$441,  MATCH(INDEX($A:$A,ROW()),  Paths!$Z$1:$Z$441,0),1))</f>
        <v>3</v>
      </c>
      <c r="C27" s="18" cm="1">
        <f t="array" ref="C27">IF(INDEX(Paths!$AA$1:$AA$441,   MATCH(INDEX($A:$A,ROW()),  Paths!$Z$1:$Z$441,  0),  1)="",0,INDEX(Paths!$AA$1:$AA$441,   MATCH(INDEX($A:$A,ROW()),  Paths!$Z$1:$Z$441,  0),  1))</f>
        <v>6</v>
      </c>
      <c r="D27" s="133" t="str" cm="1">
        <f t="array" ref="D27">"["&amp;IF(INDEX($B:$B,ROW())="",0,INDEX($B:$B,ROW()))&amp;","&amp;IF(INDEX($C:$C,ROW())="",0,INDEX($C:$C,ROW()))&amp;"]"</f>
        <v>[3,6]</v>
      </c>
      <c r="E27" s="157"/>
      <c r="F27" s="8" t="s">
        <v>45</v>
      </c>
      <c r="G27" s="88" t="s">
        <v>150</v>
      </c>
      <c r="H27" s="6" t="s">
        <v>37</v>
      </c>
      <c r="J27" s="51"/>
      <c r="K27" s="51"/>
      <c r="L27" s="179"/>
      <c r="AH27" s="6"/>
    </row>
    <row r="28" spans="1:34" x14ac:dyDescent="0.3">
      <c r="A28" s="162"/>
      <c r="F28" s="8"/>
      <c r="G28" s="88"/>
      <c r="H28" s="6"/>
      <c r="J28" s="51"/>
      <c r="K28" s="51"/>
      <c r="L28" s="179"/>
      <c r="AH28" s="6"/>
    </row>
    <row r="29" spans="1:34" x14ac:dyDescent="0.3">
      <c r="A29" s="163" t="s">
        <v>156</v>
      </c>
      <c r="B29" s="18" cm="1">
        <f t="array" ref="B29">IF(INDEX(Paths!$AB$1:$AB$441,  MATCH(INDEX($A:$A,ROW()),  Paths!$Z$1:$Z$441,0),1)="",0,INDEX(Paths!$AB$1:$AB$441,  MATCH(INDEX($A:$A,ROW()),  Paths!$Z$1:$Z$441,0),1))</f>
        <v>2</v>
      </c>
      <c r="C29" s="18" cm="1">
        <f t="array" ref="C29">IF(INDEX(Paths!$AA$1:$AA$441,   MATCH(INDEX($A:$A,ROW()),  Paths!$Z$1:$Z$441,  0),  1)="",0,INDEX(Paths!$AA$1:$AA$441,   MATCH(INDEX($A:$A,ROW()),  Paths!$Z$1:$Z$441,  0),  1))</f>
        <v>8</v>
      </c>
      <c r="D29" s="133" t="str" cm="1">
        <f t="array" ref="D29">"["&amp;IF(INDEX($B:$B,ROW())="",0,INDEX($B:$B,ROW()))&amp;","&amp;IF(INDEX($C:$C,ROW())="",0,INDEX($C:$C,ROW()))&amp;"]"</f>
        <v>[2,8]</v>
      </c>
      <c r="F29" s="99" t="s">
        <v>159</v>
      </c>
      <c r="H29" s="6" t="s">
        <v>158</v>
      </c>
      <c r="I29" s="2" t="s">
        <v>157</v>
      </c>
      <c r="K29" s="52"/>
      <c r="L29" s="179"/>
      <c r="AH29" s="6"/>
    </row>
    <row r="30" spans="1:34" x14ac:dyDescent="0.3">
      <c r="A30" s="163" t="s">
        <v>157</v>
      </c>
      <c r="B30" s="18" cm="1">
        <f t="array" ref="B30">IF(INDEX(Paths!$AB$1:$AB$441,  MATCH(INDEX($A:$A,ROW()),  Paths!$Z$1:$Z$441,0),1)="",0,INDEX(Paths!$AB$1:$AB$441,  MATCH(INDEX($A:$A,ROW()),  Paths!$Z$1:$Z$441,0),1))</f>
        <v>2</v>
      </c>
      <c r="C30" s="18" cm="1">
        <f t="array" ref="C30">IF(INDEX(Paths!$AA$1:$AA$441,   MATCH(INDEX($A:$A,ROW()),  Paths!$Z$1:$Z$441,  0),  1)="",0,INDEX(Paths!$AA$1:$AA$441,   MATCH(INDEX($A:$A,ROW()),  Paths!$Z$1:$Z$441,  0),  1))</f>
        <v>-8</v>
      </c>
      <c r="D30" s="133" t="str" cm="1">
        <f t="array" ref="D30">"["&amp;IF(INDEX($B:$B,ROW())="",0,INDEX($B:$B,ROW()))&amp;","&amp;IF(INDEX($C:$C,ROW())="",0,INDEX($C:$C,ROW()))&amp;"]"</f>
        <v>[2,-8]</v>
      </c>
      <c r="F30" s="99" t="s">
        <v>159</v>
      </c>
      <c r="H30" s="6" t="s">
        <v>158</v>
      </c>
      <c r="I30" s="2" t="s">
        <v>156</v>
      </c>
      <c r="K30" s="52"/>
      <c r="L30" s="179"/>
    </row>
    <row r="31" spans="1:34" x14ac:dyDescent="0.3">
      <c r="A31" s="163"/>
      <c r="F31" s="99"/>
      <c r="H31" s="6"/>
      <c r="K31" s="52"/>
      <c r="L31" s="179"/>
    </row>
    <row r="32" spans="1:34" x14ac:dyDescent="0.3">
      <c r="A32" s="163" t="s">
        <v>85</v>
      </c>
      <c r="B32" s="18" cm="1">
        <f t="array" ref="B32">IF(INDEX(Paths!$AB$1:$AB$441,  MATCH(INDEX($A:$A,ROW()),  Paths!$Z$1:$Z$441,0),1)="",0,INDEX(Paths!$AB$1:$AB$441,  MATCH(INDEX($A:$A,ROW()),  Paths!$Z$1:$Z$441,0),1))</f>
        <v>-10</v>
      </c>
      <c r="C32" s="18" cm="1">
        <f t="array" ref="C32">IF(INDEX(Paths!$AA$1:$AA$441,   MATCH(INDEX($A:$A,ROW()),  Paths!$Z$1:$Z$441,  0),  1)="",0,INDEX(Paths!$AA$1:$AA$441,   MATCH(INDEX($A:$A,ROW()),  Paths!$Z$1:$Z$441,  0),  1))</f>
        <v>-10</v>
      </c>
      <c r="D32" s="133" t="str" cm="1">
        <f t="array" ref="D32">"["&amp;IF(INDEX($B:$B,ROW())="",0,INDEX($B:$B,ROW()))&amp;","&amp;IF(INDEX($C:$C,ROW())="",0,INDEX($C:$C,ROW()))&amp;"]"</f>
        <v>[-10,-10]</v>
      </c>
      <c r="K32" s="52"/>
      <c r="L32" s="179"/>
    </row>
    <row r="33" spans="1:34" x14ac:dyDescent="0.3">
      <c r="A33" s="163" t="s">
        <v>84</v>
      </c>
      <c r="B33" s="18" cm="1">
        <f t="array" ref="B33">IF(INDEX(Paths!$AB$1:$AB$441,  MATCH(INDEX($A:$A,ROW()),  Paths!$Z$1:$Z$441,0),1)="",0,INDEX(Paths!$AB$1:$AB$441,  MATCH(INDEX($A:$A,ROW()),  Paths!$Z$1:$Z$441,0),1))</f>
        <v>10</v>
      </c>
      <c r="C33" s="18" cm="1">
        <f t="array" ref="C33">IF(INDEX(Paths!$AA$1:$AA$441,   MATCH(INDEX($A:$A,ROW()),  Paths!$Z$1:$Z$441,  0),  1)="",0,INDEX(Paths!$AA$1:$AA$441,   MATCH(INDEX($A:$A,ROW()),  Paths!$Z$1:$Z$441,  0),  1))</f>
        <v>-10</v>
      </c>
      <c r="D33" s="133" t="str" cm="1">
        <f t="array" ref="D33">"["&amp;IF(INDEX($B:$B,ROW())="",0,INDEX($B:$B,ROW()))&amp;","&amp;IF(INDEX($C:$C,ROW())="",0,INDEX($C:$C,ROW()))&amp;"]"</f>
        <v>[10,-10]</v>
      </c>
      <c r="K33" s="52"/>
      <c r="L33" s="179"/>
    </row>
    <row r="34" spans="1:34" x14ac:dyDescent="0.3">
      <c r="A34" s="163" t="s">
        <v>86</v>
      </c>
      <c r="B34" s="18" cm="1">
        <f t="array" ref="B34">IF(INDEX(Paths!$AB$1:$AB$441,  MATCH(INDEX($A:$A,ROW()),  Paths!$Z$1:$Z$441,0),1)="",0,INDEX(Paths!$AB$1:$AB$441,  MATCH(INDEX($A:$A,ROW()),  Paths!$Z$1:$Z$441,0),1))</f>
        <v>10</v>
      </c>
      <c r="C34" s="18" cm="1">
        <f t="array" ref="C34">IF(INDEX(Paths!$AA$1:$AA$441,   MATCH(INDEX($A:$A,ROW()),  Paths!$Z$1:$Z$441,  0),  1)="",0,INDEX(Paths!$AA$1:$AA$441,   MATCH(INDEX($A:$A,ROW()),  Paths!$Z$1:$Z$441,  0),  1))</f>
        <v>10</v>
      </c>
      <c r="D34" s="133" t="str" cm="1">
        <f t="array" ref="D34">"["&amp;IF(INDEX($B:$B,ROW())="",0,INDEX($B:$B,ROW()))&amp;","&amp;IF(INDEX($C:$C,ROW())="",0,INDEX($C:$C,ROW()))&amp;"]"</f>
        <v>[10,10]</v>
      </c>
      <c r="K34" s="52"/>
      <c r="L34" s="179"/>
    </row>
    <row r="35" spans="1:34" x14ac:dyDescent="0.3">
      <c r="A35" s="163" t="s">
        <v>87</v>
      </c>
      <c r="B35" s="18" cm="1">
        <f t="array" ref="B35">IF(INDEX(Paths!$AB$1:$AB$441,  MATCH(INDEX($A:$A,ROW()),  Paths!$Z$1:$Z$441,0),1)="",0,INDEX(Paths!$AB$1:$AB$441,  MATCH(INDEX($A:$A,ROW()),  Paths!$Z$1:$Z$441,0),1))</f>
        <v>-10</v>
      </c>
      <c r="C35" s="18" cm="1">
        <f t="array" ref="C35">IF(INDEX(Paths!$AA$1:$AA$441,   MATCH(INDEX($A:$A,ROW()),  Paths!$Z$1:$Z$441,  0),  1)="",0,INDEX(Paths!$AA$1:$AA$441,   MATCH(INDEX($A:$A,ROW()),  Paths!$Z$1:$Z$441,  0),  1))</f>
        <v>10</v>
      </c>
      <c r="D35" s="133" t="str" cm="1">
        <f t="array" ref="D35">"["&amp;IF(INDEX($B:$B,ROW())="",0,INDEX($B:$B,ROW()))&amp;","&amp;IF(INDEX($C:$C,ROW())="",0,INDEX($C:$C,ROW()))&amp;"]"</f>
        <v>[-10,10]</v>
      </c>
      <c r="K35" s="52"/>
      <c r="L35" s="179"/>
    </row>
    <row r="36" spans="1:34" x14ac:dyDescent="0.3">
      <c r="A36" s="137"/>
      <c r="L36" s="160"/>
    </row>
    <row r="37" spans="1:34" x14ac:dyDescent="0.3">
      <c r="A37" s="137"/>
    </row>
    <row r="38" spans="1:34" x14ac:dyDescent="0.3">
      <c r="A38" s="137"/>
    </row>
    <row r="39" spans="1:34" x14ac:dyDescent="0.3">
      <c r="A39" s="137"/>
    </row>
    <row r="40" spans="1:34" x14ac:dyDescent="0.3">
      <c r="A40" s="137"/>
    </row>
    <row r="41" spans="1:34" x14ac:dyDescent="0.3">
      <c r="A41" s="137"/>
    </row>
    <row r="42" spans="1:34" x14ac:dyDescent="0.3">
      <c r="A42" s="137"/>
    </row>
    <row r="43" spans="1:34" x14ac:dyDescent="0.3">
      <c r="A43" s="137"/>
    </row>
    <row r="44" spans="1:34" x14ac:dyDescent="0.3">
      <c r="A44" s="137"/>
    </row>
    <row r="45" spans="1:34" x14ac:dyDescent="0.3">
      <c r="A45" s="137"/>
    </row>
    <row r="46" spans="1:34" x14ac:dyDescent="0.3">
      <c r="AH46" s="6"/>
    </row>
    <row r="47" spans="1:34" x14ac:dyDescent="0.3">
      <c r="AH47" s="6"/>
    </row>
  </sheetData>
  <phoneticPr fontId="6" type="noConversion"/>
  <conditionalFormatting sqref="A48:A1048576 A1:A45">
    <cfRule type="duplicateValues" dxfId="36" priority="42"/>
  </conditionalFormatting>
  <conditionalFormatting sqref="A48:A1048576 A1:A35">
    <cfRule type="duplicateValues" dxfId="35" priority="53"/>
  </conditionalFormatting>
  <conditionalFormatting sqref="A3:D1048576 A1:A2 F1:K1048576 D1 B2:D2">
    <cfRule type="expression" dxfId="34" priority="8">
      <formula>INDEX($A:$A,ROW())=0</formula>
    </cfRule>
  </conditionalFormatting>
  <conditionalFormatting sqref="B2:C1048576">
    <cfRule type="cellIs" dxfId="33" priority="3" operator="lessThan">
      <formula>-10</formula>
    </cfRule>
    <cfRule type="cellIs" dxfId="32" priority="4" operator="greaterThan">
      <formula>10</formula>
    </cfRule>
  </conditionalFormatting>
  <conditionalFormatting sqref="E1">
    <cfRule type="expression" dxfId="31" priority="1">
      <formula>ROW()=1</formula>
    </cfRule>
  </conditionalFormatting>
  <conditionalFormatting sqref="E1:E1048576">
    <cfRule type="expression" dxfId="30" priority="2">
      <formula>INDEX($B:$B,ROW())=0</formula>
    </cfRule>
  </conditionalFormatting>
  <dataValidations xWindow="212" yWindow="705" count="3">
    <dataValidation allowBlank="1" showInputMessage="1" showErrorMessage="1" promptTitle="Introduce your spot here!" prompt="Please give a unique name" sqref="A1:A1048576" xr:uid="{92D763B2-9D8E-46B6-B7B4-61B51FF9596C}"/>
    <dataValidation allowBlank="1" showInputMessage="1" showErrorMessage="1" prompt="-10 &lt; X &lt;10" sqref="B48:B1048576 B1:B45" xr:uid="{AD179FF4-71FD-472A-9D4C-7CAEC0954F9A}"/>
    <dataValidation allowBlank="1" showInputMessage="1" showErrorMessage="1" prompt="-10&lt;Y&lt;10" sqref="C1:C1048576" xr:uid="{E176941B-A36B-401F-8DCB-2E2D47D8667B}"/>
  </dataValidations>
  <hyperlinks>
    <hyperlink ref="G3" r:id="rId1" xr:uid="{4DC2361F-DE03-46E0-8CD1-81E20022DD2B}"/>
    <hyperlink ref="G4" r:id="rId2" xr:uid="{BBE89E47-87BD-492E-8A51-5F9E7C130124}"/>
    <hyperlink ref="G5" r:id="rId3" xr:uid="{A14A32AE-E536-44F9-A073-7950B4F5F287}"/>
    <hyperlink ref="G6" r:id="rId4" xr:uid="{CBFE0981-3467-4EE8-845B-EA368656C1EE}"/>
    <hyperlink ref="G8" r:id="rId5" xr:uid="{585BB77C-A36D-40FE-90E5-0109C369F461}"/>
    <hyperlink ref="G9" r:id="rId6" xr:uid="{42CB49F6-B2CB-4F25-94C4-53C447539B4F}"/>
    <hyperlink ref="G10" r:id="rId7" xr:uid="{C0F8D6BD-09E2-4ED6-8DF1-18037C82DFF5}"/>
    <hyperlink ref="G11" r:id="rId8" xr:uid="{0FD421E2-2B23-4288-9105-44DA1C482A1B}"/>
    <hyperlink ref="G12" r:id="rId9" xr:uid="{EAC04F64-83D4-41F2-88AA-C671F53A4EAF}"/>
    <hyperlink ref="G13" r:id="rId10" xr:uid="{086DFC3F-8F32-4651-8C71-1B622200FD84}"/>
    <hyperlink ref="G15" r:id="rId11" xr:uid="{1E1EFCE5-2A8A-4946-A7DD-DBA6C0E4B434}"/>
    <hyperlink ref="G16" r:id="rId12" xr:uid="{0AE34B42-1C68-404C-B384-307B8BF9E024}"/>
    <hyperlink ref="G17" r:id="rId13" xr:uid="{DD6E7082-FA77-46EF-B45B-377CF7F8E872}"/>
    <hyperlink ref="G18" r:id="rId14" xr:uid="{968D1032-20F5-46AB-AED5-5CC95E15D655}"/>
    <hyperlink ref="G19" r:id="rId15" xr:uid="{BBC3BA7F-CE9A-4EAD-88CB-610B7D957AAC}"/>
    <hyperlink ref="G20" r:id="rId16" xr:uid="{57C1809E-F293-409E-8D63-9493726E8D64}"/>
    <hyperlink ref="G22" r:id="rId17" xr:uid="{1912063F-DF05-4E7C-9CB0-FEC42E6A23E6}"/>
    <hyperlink ref="G23" r:id="rId18" xr:uid="{00DFB90F-7BE3-4734-9738-D2448FB7A746}"/>
    <hyperlink ref="G24" r:id="rId19" xr:uid="{85D3DB53-E61D-4482-9720-A2F5BB6BD550}"/>
    <hyperlink ref="G25" r:id="rId20" xr:uid="{A10F3C18-69AE-45EC-AC92-24A6768DDFA4}"/>
    <hyperlink ref="G26" r:id="rId21" xr:uid="{F3D1B5E5-F323-4B1B-B6AA-44398B413416}"/>
    <hyperlink ref="G27" r:id="rId22" xr:uid="{D5D7F59C-9957-43A6-BA72-C29E692DEC32}"/>
  </hyperlinks>
  <pageMargins left="0.7" right="0.7" top="0.75" bottom="0.75" header="0.3" footer="0.3"/>
  <pageSetup orientation="portrait" r:id="rId23"/>
  <drawing r:id="rId24"/>
  <legacyDrawing r:id="rId25"/>
  <controls>
    <mc:AlternateContent xmlns:mc="http://schemas.openxmlformats.org/markup-compatibility/2006">
      <mc:Choice Requires="x14">
        <control shapeId="2049" r:id="rId26" name="CommandButton1">
          <controlPr defaultSize="0" autoLine="0" autoPict="0" r:id="rId27">
            <anchor moveWithCells="1">
              <from>
                <xdr:col>14</xdr:col>
                <xdr:colOff>167640</xdr:colOff>
                <xdr:row>1</xdr:row>
                <xdr:rowOff>198120</xdr:rowOff>
              </from>
              <to>
                <xdr:col>20</xdr:col>
                <xdr:colOff>510540</xdr:colOff>
                <xdr:row>13</xdr:row>
                <xdr:rowOff>53340</xdr:rowOff>
              </to>
            </anchor>
          </controlPr>
        </control>
      </mc:Choice>
      <mc:Fallback>
        <control shapeId="2049" r:id="rId26" name="CommandButton1"/>
      </mc:Fallback>
    </mc:AlternateContent>
  </controls>
  <tableParts count="1">
    <tablePart r:id="rId2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E680"/>
  <sheetViews>
    <sheetView zoomScale="120" zoomScaleNormal="120" workbookViewId="0">
      <pane xSplit="3" topLeftCell="K1" activePane="topRight" state="frozen"/>
      <selection pane="topRight" activeCell="B3" sqref="B3"/>
    </sheetView>
  </sheetViews>
  <sheetFormatPr defaultRowHeight="14.4" x14ac:dyDescent="0.3"/>
  <cols>
    <col min="1" max="1" width="12.21875" style="70" customWidth="1"/>
    <col min="2" max="2" width="12.109375" style="70" customWidth="1"/>
    <col min="3" max="3" width="1.77734375" style="158" customWidth="1"/>
    <col min="4" max="4" width="23" style="12" customWidth="1"/>
    <col min="5" max="5" width="4.33203125" style="107" customWidth="1"/>
    <col min="6" max="6" width="3.88671875" style="107" bestFit="1" customWidth="1"/>
    <col min="7" max="7" width="10.44140625" style="108" customWidth="1"/>
    <col min="8" max="8" width="3.88671875" style="122" bestFit="1" customWidth="1"/>
    <col min="9" max="9" width="3.88671875" style="123" bestFit="1" customWidth="1"/>
    <col min="10" max="10" width="8" style="108" bestFit="1" customWidth="1"/>
    <col min="11" max="12" width="8.88671875" style="151"/>
    <col min="13" max="13" width="8.88671875" style="151" customWidth="1"/>
    <col min="14" max="21" width="8.88671875" style="151"/>
    <col min="22" max="22" width="10.5546875" style="151" customWidth="1"/>
    <col min="23" max="23" width="10.21875" style="151" customWidth="1"/>
    <col min="24" max="16384" width="8.88671875" style="151"/>
  </cols>
  <sheetData>
    <row r="1" spans="1:31" x14ac:dyDescent="0.3">
      <c r="A1" s="100" t="s">
        <v>48</v>
      </c>
      <c r="B1" s="100" t="s">
        <v>47</v>
      </c>
      <c r="C1" s="155" t="s">
        <v>162</v>
      </c>
      <c r="D1" s="105" t="s">
        <v>4</v>
      </c>
      <c r="E1" s="101" t="s">
        <v>80</v>
      </c>
      <c r="F1" s="102" t="s">
        <v>81</v>
      </c>
      <c r="G1" s="103" t="s">
        <v>88</v>
      </c>
      <c r="H1" s="104" t="s">
        <v>82</v>
      </c>
      <c r="I1" s="102" t="s">
        <v>83</v>
      </c>
      <c r="J1" s="103" t="s">
        <v>89</v>
      </c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</row>
    <row r="2" spans="1:31" x14ac:dyDescent="0.3">
      <c r="A2" s="106" t="s">
        <v>5</v>
      </c>
      <c r="B2" s="106" t="s">
        <v>6</v>
      </c>
      <c r="C2" s="156"/>
      <c r="D2" s="110"/>
      <c r="E2" s="107" cm="1">
        <f t="array" ref="E2">IF(INDEX($A:$A,ROW())="",0,INDEX(Spots!$B:$B,MATCH(INDEX($A:$A,ROW()),Spots!$A:$A,0)))</f>
        <v>0</v>
      </c>
      <c r="F2" s="107" cm="1">
        <f t="array" ref="F2">IF(INDEX($A:$A,ROW())="",0,INDEX(Spots!$C:$C,MATCH(INDEX($A:$A,ROW()),Spots!$A:$A,0)))</f>
        <v>0</v>
      </c>
      <c r="G2" s="108" t="str" cm="1">
        <f t="array" ref="G2">IF(INDEX($A:$A,ROW())="","","["&amp;INDEX(E:E,ROW())&amp;","&amp;INDEX(F:F,ROW())&amp;"]")</f>
        <v>[0,0]</v>
      </c>
      <c r="H2" s="109" cm="1">
        <f t="array" ref="H2">IF(INDEX($B:$B,ROW())="",0,INDEX(Spots!$B:$B,MATCH(INDEX($B:$B,ROW()),Spots!$A:$A,0)))</f>
        <v>1</v>
      </c>
      <c r="I2" s="107" cm="1">
        <f t="array" ref="I2">IF(INDEX($B:$B,ROW())="",0,INDEX(Spots!$C:$C,MATCH(INDEX($B:$B,ROW()),Spots!$A:$A,0)))</f>
        <v>0</v>
      </c>
      <c r="J2" s="108" t="str" cm="1">
        <f t="array" ref="J2">IF(INDEX($B:$B,ROW())="","","["&amp;INDEX(H:H,ROW())&amp;","&amp;INDEX(I:I,ROW())&amp;"]")</f>
        <v>[1,0]</v>
      </c>
      <c r="K2" s="13"/>
      <c r="T2" s="13"/>
      <c r="AD2" s="13"/>
    </row>
    <row r="3" spans="1:31" x14ac:dyDescent="0.3">
      <c r="A3" s="106" t="s">
        <v>6</v>
      </c>
      <c r="B3" s="111" t="s">
        <v>7</v>
      </c>
      <c r="C3" s="157"/>
      <c r="D3" s="110"/>
      <c r="E3" s="107" cm="1">
        <f t="array" ref="E3">IF(INDEX($A:$A,ROW())="",0,INDEX(Spots!$B:$B,MATCH(INDEX($A:$A,ROW()),Spots!$A:$A,0)))</f>
        <v>1</v>
      </c>
      <c r="F3" s="107" cm="1">
        <f t="array" ref="F3">IF(INDEX($A:$A,ROW())="",0,INDEX(Spots!$C:$C,MATCH(INDEX($A:$A,ROW()),Spots!$A:$A,0)))</f>
        <v>0</v>
      </c>
      <c r="G3" s="108" t="str" cm="1">
        <f t="array" ref="G3">IF(INDEX($A:$A,ROW())="","","["&amp;INDEX(E:E,ROW())&amp;","&amp;INDEX(F:F,ROW())&amp;"]")</f>
        <v>[1,0]</v>
      </c>
      <c r="H3" s="109" cm="1">
        <f t="array" ref="H3">IF(INDEX($B:$B,ROW())="",0,INDEX(Spots!$B:$B,MATCH(INDEX($B:$B,ROW()),Spots!$A:$A,0)))</f>
        <v>2</v>
      </c>
      <c r="I3" s="107" cm="1">
        <f t="array" ref="I3">IF(INDEX($B:$B,ROW())="",0,INDEX(Spots!$C:$C,MATCH(INDEX($B:$B,ROW()),Spots!$A:$A,0)))</f>
        <v>0</v>
      </c>
      <c r="J3" s="108" t="str" cm="1">
        <f t="array" ref="J3">IF(INDEX($B:$B,ROW())="","","["&amp;INDEX(H:H,ROW())&amp;","&amp;INDEX(I:I,ROW())&amp;"]")</f>
        <v>[2,0]</v>
      </c>
      <c r="K3" s="13"/>
      <c r="L3" s="13"/>
      <c r="T3" s="13"/>
    </row>
    <row r="4" spans="1:31" x14ac:dyDescent="0.3">
      <c r="A4" s="106" t="s">
        <v>7</v>
      </c>
      <c r="B4" s="111" t="s">
        <v>8</v>
      </c>
      <c r="C4" s="157"/>
      <c r="D4" s="3"/>
      <c r="E4" s="107" cm="1">
        <f t="array" ref="E4">IF(INDEX($A:$A,ROW())="",0,INDEX(Spots!$B:$B,MATCH(INDEX($A:$A,ROW()),Spots!$A:$A,0)))</f>
        <v>2</v>
      </c>
      <c r="F4" s="107" cm="1">
        <f t="array" ref="F4">IF(INDEX($A:$A,ROW())="",0,INDEX(Spots!$C:$C,MATCH(INDEX($A:$A,ROW()),Spots!$A:$A,0)))</f>
        <v>0</v>
      </c>
      <c r="G4" s="108" t="str" cm="1">
        <f t="array" ref="G4">IF(INDEX($A:$A,ROW())="","","["&amp;INDEX(E:E,ROW())&amp;","&amp;INDEX(F:F,ROW())&amp;"]")</f>
        <v>[2,0]</v>
      </c>
      <c r="H4" s="109" cm="1">
        <f t="array" ref="H4">IF(INDEX($B:$B,ROW())="",0,INDEX(Spots!$B:$B,MATCH(INDEX($B:$B,ROW()),Spots!$A:$A,0)))</f>
        <v>3</v>
      </c>
      <c r="I4" s="107" cm="1">
        <f t="array" ref="I4">IF(INDEX($B:$B,ROW())="",0,INDEX(Spots!$C:$C,MATCH(INDEX($B:$B,ROW()),Spots!$A:$A,0)))</f>
        <v>0</v>
      </c>
      <c r="J4" s="108" t="str" cm="1">
        <f t="array" ref="J4">IF(INDEX($B:$B,ROW())="","","["&amp;INDEX(H:H,ROW())&amp;","&amp;INDEX(I:I,ROW())&amp;"]")</f>
        <v>[3,0]</v>
      </c>
      <c r="K4" s="13"/>
      <c r="T4" s="13"/>
      <c r="U4" s="152"/>
      <c r="W4" s="152"/>
    </row>
    <row r="5" spans="1:31" x14ac:dyDescent="0.3">
      <c r="A5" s="106"/>
      <c r="B5" s="111"/>
      <c r="C5" s="157"/>
      <c r="D5" s="3"/>
      <c r="H5" s="109"/>
      <c r="I5" s="107"/>
      <c r="K5" s="13"/>
      <c r="T5" s="13"/>
      <c r="U5" s="152"/>
      <c r="W5" s="152"/>
    </row>
    <row r="6" spans="1:31" x14ac:dyDescent="0.3">
      <c r="A6" s="112" t="s">
        <v>6</v>
      </c>
      <c r="B6" s="112" t="s">
        <v>9</v>
      </c>
      <c r="C6" s="157"/>
      <c r="D6" s="110"/>
      <c r="E6" s="107" cm="1">
        <f t="array" ref="E6">IF(INDEX($A:$A,ROW())="",0,INDEX(Spots!$B:$B,MATCH(INDEX($A:$A,ROW()),Spots!$A:$A,0)))</f>
        <v>1</v>
      </c>
      <c r="F6" s="107" cm="1">
        <f t="array" ref="F6">IF(INDEX($A:$A,ROW())="",0,INDEX(Spots!$C:$C,MATCH(INDEX($A:$A,ROW()),Spots!$A:$A,0)))</f>
        <v>0</v>
      </c>
      <c r="G6" s="108" t="str" cm="1">
        <f t="array" ref="G6">IF(INDEX($A:$A,ROW())="","","["&amp;INDEX(E:E,ROW())&amp;","&amp;INDEX(F:F,ROW())&amp;"]")</f>
        <v>[1,0]</v>
      </c>
      <c r="H6" s="109" cm="1">
        <f t="array" ref="H6">IF(INDEX($B:$B,ROW())="",0,INDEX(Spots!$B:$B,MATCH(INDEX($B:$B,ROW()),Spots!$A:$A,0)))</f>
        <v>1</v>
      </c>
      <c r="I6" s="107" cm="1">
        <f t="array" ref="I6">IF(INDEX($B:$B,ROW())="",0,INDEX(Spots!$C:$C,MATCH(INDEX($B:$B,ROW()),Spots!$A:$A,0)))</f>
        <v>1</v>
      </c>
      <c r="J6" s="108" t="str" cm="1">
        <f t="array" ref="J6">IF(INDEX($B:$B,ROW())="","","["&amp;INDEX(H:H,ROW())&amp;","&amp;INDEX(I:I,ROW())&amp;"]")</f>
        <v>[1,1]</v>
      </c>
      <c r="K6" s="13"/>
      <c r="T6" s="13"/>
      <c r="U6" s="152"/>
      <c r="W6" s="152"/>
    </row>
    <row r="7" spans="1:31" x14ac:dyDescent="0.3">
      <c r="A7" s="112" t="s">
        <v>9</v>
      </c>
      <c r="B7" s="112" t="s">
        <v>11</v>
      </c>
      <c r="C7" s="157"/>
      <c r="D7" s="110"/>
      <c r="E7" s="107" cm="1">
        <f t="array" ref="E7">IF(INDEX($A:$A,ROW())="",0,INDEX(Spots!$B:$B,MATCH(INDEX($A:$A,ROW()),Spots!$A:$A,0)))</f>
        <v>1</v>
      </c>
      <c r="F7" s="107" cm="1">
        <f t="array" ref="F7">IF(INDEX($A:$A,ROW())="",0,INDEX(Spots!$C:$C,MATCH(INDEX($A:$A,ROW()),Spots!$A:$A,0)))</f>
        <v>1</v>
      </c>
      <c r="G7" s="108" t="str" cm="1">
        <f t="array" ref="G7">IF(INDEX($A:$A,ROW())="","","["&amp;INDEX(E:E,ROW())&amp;","&amp;INDEX(F:F,ROW())&amp;"]")</f>
        <v>[1,1]</v>
      </c>
      <c r="H7" s="109" cm="1">
        <f t="array" ref="H7">IF(INDEX($B:$B,ROW())="",0,INDEX(Spots!$B:$B,MATCH(INDEX($B:$B,ROW()),Spots!$A:$A,0)))</f>
        <v>1</v>
      </c>
      <c r="I7" s="107" cm="1">
        <f t="array" ref="I7">IF(INDEX($B:$B,ROW())="",0,INDEX(Spots!$C:$C,MATCH(INDEX($B:$B,ROW()),Spots!$A:$A,0)))</f>
        <v>2</v>
      </c>
      <c r="J7" s="108" t="str" cm="1">
        <f t="array" ref="J7">IF(INDEX($B:$B,ROW())="","","["&amp;INDEX(H:H,ROW())&amp;","&amp;INDEX(I:I,ROW())&amp;"]")</f>
        <v>[1,2]</v>
      </c>
      <c r="K7" s="13"/>
      <c r="T7" s="13"/>
    </row>
    <row r="8" spans="1:31" x14ac:dyDescent="0.3">
      <c r="A8" s="112" t="s">
        <v>11</v>
      </c>
      <c r="B8" s="112" t="s">
        <v>13</v>
      </c>
      <c r="C8" s="157"/>
      <c r="E8" s="107" cm="1">
        <f t="array" ref="E8">IF(INDEX($A:$A,ROW())="",0,INDEX(Spots!$B:$B,MATCH(INDEX($A:$A,ROW()),Spots!$A:$A,0)))</f>
        <v>1</v>
      </c>
      <c r="F8" s="107" cm="1">
        <f t="array" ref="F8">IF(INDEX($A:$A,ROW())="",0,INDEX(Spots!$C:$C,MATCH(INDEX($A:$A,ROW()),Spots!$A:$A,0)))</f>
        <v>2</v>
      </c>
      <c r="G8" s="108" t="str" cm="1">
        <f t="array" ref="G8">IF(INDEX($A:$A,ROW())="","","["&amp;INDEX(E:E,ROW())&amp;","&amp;INDEX(F:F,ROW())&amp;"]")</f>
        <v>[1,2]</v>
      </c>
      <c r="H8" s="109" cm="1">
        <f t="array" ref="H8">IF(INDEX($B:$B,ROW())="",0,INDEX(Spots!$B:$B,MATCH(INDEX($B:$B,ROW()),Spots!$A:$A,0)))</f>
        <v>1</v>
      </c>
      <c r="I8" s="107" cm="1">
        <f t="array" ref="I8">IF(INDEX($B:$B,ROW())="",0,INDEX(Spots!$C:$C,MATCH(INDEX($B:$B,ROW()),Spots!$A:$A,0)))</f>
        <v>3</v>
      </c>
      <c r="J8" s="108" t="str" cm="1">
        <f t="array" ref="J8">IF(INDEX($B:$B,ROW())="","","["&amp;INDEX(H:H,ROW())&amp;","&amp;INDEX(I:I,ROW())&amp;"]")</f>
        <v>[1,3]</v>
      </c>
      <c r="K8" s="13"/>
      <c r="T8" s="13"/>
    </row>
    <row r="9" spans="1:31" x14ac:dyDescent="0.3">
      <c r="A9" s="112" t="s">
        <v>13</v>
      </c>
      <c r="B9" s="112" t="s">
        <v>15</v>
      </c>
      <c r="C9" s="157"/>
      <c r="E9" s="107" cm="1">
        <f t="array" ref="E9">IF(INDEX($A:$A,ROW())="",0,INDEX(Spots!$B:$B,MATCH(INDEX($A:$A,ROW()),Spots!$A:$A,0)))</f>
        <v>1</v>
      </c>
      <c r="F9" s="107" cm="1">
        <f t="array" ref="F9">IF(INDEX($A:$A,ROW())="",0,INDEX(Spots!$C:$C,MATCH(INDEX($A:$A,ROW()),Spots!$A:$A,0)))</f>
        <v>3</v>
      </c>
      <c r="G9" s="108" t="str" cm="1">
        <f t="array" ref="G9">IF(INDEX($A:$A,ROW())="","","["&amp;INDEX(E:E,ROW())&amp;","&amp;INDEX(F:F,ROW())&amp;"]")</f>
        <v>[1,3]</v>
      </c>
      <c r="H9" s="109" cm="1">
        <f t="array" ref="H9">IF(INDEX($B:$B,ROW())="",0,INDEX(Spots!$B:$B,MATCH(INDEX($B:$B,ROW()),Spots!$A:$A,0)))</f>
        <v>1</v>
      </c>
      <c r="I9" s="107" cm="1">
        <f t="array" ref="I9">IF(INDEX($B:$B,ROW())="",0,INDEX(Spots!$C:$C,MATCH(INDEX($B:$B,ROW()),Spots!$A:$A,0)))</f>
        <v>4</v>
      </c>
      <c r="J9" s="108" t="str" cm="1">
        <f t="array" ref="J9">IF(INDEX($B:$B,ROW())="","","["&amp;INDEX(H:H,ROW())&amp;","&amp;INDEX(I:I,ROW())&amp;"]")</f>
        <v>[1,4]</v>
      </c>
      <c r="K9" s="13"/>
      <c r="T9" s="13"/>
    </row>
    <row r="10" spans="1:31" x14ac:dyDescent="0.3">
      <c r="A10" s="112" t="s">
        <v>15</v>
      </c>
      <c r="B10" s="112" t="s">
        <v>17</v>
      </c>
      <c r="C10" s="157"/>
      <c r="D10" s="3"/>
      <c r="E10" s="107" cm="1">
        <f t="array" ref="E10">IF(INDEX($A:$A,ROW())="",0,INDEX(Spots!$B:$B,MATCH(INDEX($A:$A,ROW()),Spots!$A:$A,0)))</f>
        <v>1</v>
      </c>
      <c r="F10" s="107" cm="1">
        <f t="array" ref="F10">IF(INDEX($A:$A,ROW())="",0,INDEX(Spots!$C:$C,MATCH(INDEX($A:$A,ROW()),Spots!$A:$A,0)))</f>
        <v>4</v>
      </c>
      <c r="G10" s="108" t="str" cm="1">
        <f t="array" ref="G10">IF(INDEX($A:$A,ROW())="","","["&amp;INDEX(E:E,ROW())&amp;","&amp;INDEX(F:F,ROW())&amp;"]")</f>
        <v>[1,4]</v>
      </c>
      <c r="H10" s="109" cm="1">
        <f t="array" ref="H10">IF(INDEX($B:$B,ROW())="",0,INDEX(Spots!$B:$B,MATCH(INDEX($B:$B,ROW()),Spots!$A:$A,0)))</f>
        <v>1</v>
      </c>
      <c r="I10" s="107" cm="1">
        <f t="array" ref="I10">IF(INDEX($B:$B,ROW())="",0,INDEX(Spots!$C:$C,MATCH(INDEX($B:$B,ROW()),Spots!$A:$A,0)))</f>
        <v>5</v>
      </c>
      <c r="J10" s="108" t="str" cm="1">
        <f t="array" ref="J10">IF(INDEX($B:$B,ROW())="","","["&amp;INDEX(H:H,ROW())&amp;","&amp;INDEX(I:I,ROW())&amp;"]")</f>
        <v>[1,5]</v>
      </c>
      <c r="K10" s="13"/>
      <c r="N10" s="152"/>
      <c r="T10" s="13"/>
    </row>
    <row r="11" spans="1:31" x14ac:dyDescent="0.3">
      <c r="A11" s="112" t="s">
        <v>17</v>
      </c>
      <c r="B11" s="112" t="s">
        <v>19</v>
      </c>
      <c r="C11" s="157"/>
      <c r="E11" s="107" cm="1">
        <f t="array" ref="E11">IF(INDEX($A:$A,ROW())="",0,INDEX(Spots!$B:$B,MATCH(INDEX($A:$A,ROW()),Spots!$A:$A,0)))</f>
        <v>1</v>
      </c>
      <c r="F11" s="107" cm="1">
        <f t="array" ref="F11">IF(INDEX($A:$A,ROW())="",0,INDEX(Spots!$C:$C,MATCH(INDEX($A:$A,ROW()),Spots!$A:$A,0)))</f>
        <v>5</v>
      </c>
      <c r="G11" s="108" t="str" cm="1">
        <f t="array" ref="G11">IF(INDEX($A:$A,ROW())="","","["&amp;INDEX(E:E,ROW())&amp;","&amp;INDEX(F:F,ROW())&amp;"]")</f>
        <v>[1,5]</v>
      </c>
      <c r="H11" s="109" cm="1">
        <f t="array" ref="H11">IF(INDEX($B:$B,ROW())="",0,INDEX(Spots!$B:$B,MATCH(INDEX($B:$B,ROW()),Spots!$A:$A,0)))</f>
        <v>1</v>
      </c>
      <c r="I11" s="107" cm="1">
        <f t="array" ref="I11">IF(INDEX($B:$B,ROW())="",0,INDEX(Spots!$C:$C,MATCH(INDEX($B:$B,ROW()),Spots!$A:$A,0)))</f>
        <v>6</v>
      </c>
      <c r="J11" s="108" t="str" cm="1">
        <f t="array" ref="J11">IF(INDEX($B:$B,ROW())="","","["&amp;INDEX(H:H,ROW())&amp;","&amp;INDEX(I:I,ROW())&amp;"]")</f>
        <v>[1,6]</v>
      </c>
      <c r="K11" s="13"/>
      <c r="P11" s="152"/>
      <c r="T11" s="13"/>
    </row>
    <row r="12" spans="1:31" x14ac:dyDescent="0.3">
      <c r="A12" s="112"/>
      <c r="B12" s="112"/>
      <c r="C12" s="157"/>
      <c r="H12" s="109"/>
      <c r="I12" s="107"/>
      <c r="K12" s="13"/>
      <c r="P12" s="152"/>
      <c r="T12" s="13"/>
    </row>
    <row r="13" spans="1:31" x14ac:dyDescent="0.3">
      <c r="A13" s="113" t="s">
        <v>7</v>
      </c>
      <c r="B13" s="113" t="s">
        <v>21</v>
      </c>
      <c r="C13" s="157"/>
      <c r="E13" s="107" cm="1">
        <f t="array" ref="E13">IF(INDEX($A:$A,ROW())="",0,INDEX(Spots!$B:$B,MATCH(INDEX($A:$A,ROW()),Spots!$A:$A,0)))</f>
        <v>2</v>
      </c>
      <c r="F13" s="107" cm="1">
        <f t="array" ref="F13">IF(INDEX($A:$A,ROW())="",0,INDEX(Spots!$C:$C,MATCH(INDEX($A:$A,ROW()),Spots!$A:$A,0)))</f>
        <v>0</v>
      </c>
      <c r="G13" s="108" t="str" cm="1">
        <f t="array" ref="G13">IF(INDEX($A:$A,ROW())="","","["&amp;INDEX(E:E,ROW())&amp;","&amp;INDEX(F:F,ROW())&amp;"]")</f>
        <v>[2,0]</v>
      </c>
      <c r="H13" s="109" cm="1">
        <f t="array" ref="H13">IF(INDEX($B:$B,ROW())="",0,INDEX(Spots!$B:$B,MATCH(INDEX($B:$B,ROW()),Spots!$A:$A,0)))</f>
        <v>2</v>
      </c>
      <c r="I13" s="107" cm="1">
        <f t="array" ref="I13">IF(INDEX($B:$B,ROW())="",0,INDEX(Spots!$C:$C,MATCH(INDEX($B:$B,ROW()),Spots!$A:$A,0)))</f>
        <v>-1</v>
      </c>
      <c r="J13" s="108" t="str" cm="1">
        <f t="array" ref="J13">IF(INDEX($B:$B,ROW())="","","["&amp;INDEX(H:H,ROW())&amp;","&amp;INDEX(I:I,ROW())&amp;"]")</f>
        <v>[2,-1]</v>
      </c>
      <c r="K13" s="13"/>
      <c r="M13" s="152"/>
      <c r="T13" s="13"/>
    </row>
    <row r="14" spans="1:31" x14ac:dyDescent="0.3">
      <c r="A14" s="113" t="s">
        <v>21</v>
      </c>
      <c r="B14" s="113" t="s">
        <v>23</v>
      </c>
      <c r="C14" s="157"/>
      <c r="E14" s="107" cm="1">
        <f t="array" ref="E14">IF(INDEX($A:$A,ROW())="",0,INDEX(Spots!$B:$B,MATCH(INDEX($A:$A,ROW()),Spots!$A:$A,0)))</f>
        <v>2</v>
      </c>
      <c r="F14" s="107" cm="1">
        <f t="array" ref="F14">IF(INDEX($A:$A,ROW())="",0,INDEX(Spots!$C:$C,MATCH(INDEX($A:$A,ROW()),Spots!$A:$A,0)))</f>
        <v>-1</v>
      </c>
      <c r="G14" s="108" t="str" cm="1">
        <f t="array" ref="G14">IF(INDEX($A:$A,ROW())="","","["&amp;INDEX(E:E,ROW())&amp;","&amp;INDEX(F:F,ROW())&amp;"]")</f>
        <v>[2,-1]</v>
      </c>
      <c r="H14" s="109" cm="1">
        <f t="array" ref="H14">IF(INDEX($B:$B,ROW())="",0,INDEX(Spots!$B:$B,MATCH(INDEX($B:$B,ROW()),Spots!$A:$A,0)))</f>
        <v>2</v>
      </c>
      <c r="I14" s="107" cm="1">
        <f t="array" ref="I14">IF(INDEX($B:$B,ROW())="",0,INDEX(Spots!$C:$C,MATCH(INDEX($B:$B,ROW()),Spots!$A:$A,0)))</f>
        <v>-2</v>
      </c>
      <c r="J14" s="108" t="str" cm="1">
        <f t="array" ref="J14">IF(INDEX($B:$B,ROW())="","","["&amp;INDEX(H:H,ROW())&amp;","&amp;INDEX(I:I,ROW())&amp;"]")</f>
        <v>[2,-2]</v>
      </c>
      <c r="K14" s="13"/>
      <c r="T14" s="13"/>
    </row>
    <row r="15" spans="1:31" x14ac:dyDescent="0.3">
      <c r="A15" s="113" t="s">
        <v>23</v>
      </c>
      <c r="B15" s="113" t="s">
        <v>25</v>
      </c>
      <c r="C15" s="157"/>
      <c r="E15" s="107" cm="1">
        <f t="array" ref="E15">IF(INDEX($A:$A,ROW())="",0,INDEX(Spots!$B:$B,MATCH(INDEX($A:$A,ROW()),Spots!$A:$A,0)))</f>
        <v>2</v>
      </c>
      <c r="F15" s="107" cm="1">
        <f t="array" ref="F15">IF(INDEX($A:$A,ROW())="",0,INDEX(Spots!$C:$C,MATCH(INDEX($A:$A,ROW()),Spots!$A:$A,0)))</f>
        <v>-2</v>
      </c>
      <c r="G15" s="108" t="str" cm="1">
        <f t="array" ref="G15">IF(INDEX($A:$A,ROW())="","","["&amp;INDEX(E:E,ROW())&amp;","&amp;INDEX(F:F,ROW())&amp;"]")</f>
        <v>[2,-2]</v>
      </c>
      <c r="H15" s="109" cm="1">
        <f t="array" ref="H15">IF(INDEX($B:$B,ROW())="",0,INDEX(Spots!$B:$B,MATCH(INDEX($B:$B,ROW()),Spots!$A:$A,0)))</f>
        <v>2</v>
      </c>
      <c r="I15" s="107" cm="1">
        <f t="array" ref="I15">IF(INDEX($B:$B,ROW())="",0,INDEX(Spots!$C:$C,MATCH(INDEX($B:$B,ROW()),Spots!$A:$A,0)))</f>
        <v>-3</v>
      </c>
      <c r="J15" s="108" t="str" cm="1">
        <f t="array" ref="J15">IF(INDEX($B:$B,ROW())="","","["&amp;INDEX(H:H,ROW())&amp;","&amp;INDEX(I:I,ROW())&amp;"]")</f>
        <v>[2,-3]</v>
      </c>
      <c r="T15" s="13"/>
    </row>
    <row r="16" spans="1:31" x14ac:dyDescent="0.3">
      <c r="A16" s="113" t="s">
        <v>25</v>
      </c>
      <c r="B16" s="113" t="s">
        <v>27</v>
      </c>
      <c r="C16" s="157"/>
      <c r="E16" s="107" cm="1">
        <f t="array" ref="E16">IF(INDEX($A:$A,ROW())="",0,INDEX(Spots!$B:$B,MATCH(INDEX($A:$A,ROW()),Spots!$A:$A,0)))</f>
        <v>2</v>
      </c>
      <c r="F16" s="107" cm="1">
        <f t="array" ref="F16">IF(INDEX($A:$A,ROW())="",0,INDEX(Spots!$C:$C,MATCH(INDEX($A:$A,ROW()),Spots!$A:$A,0)))</f>
        <v>-3</v>
      </c>
      <c r="G16" s="108" t="str" cm="1">
        <f t="array" ref="G16">IF(INDEX($A:$A,ROW())="","","["&amp;INDEX(E:E,ROW())&amp;","&amp;INDEX(F:F,ROW())&amp;"]")</f>
        <v>[2,-3]</v>
      </c>
      <c r="H16" s="109" cm="1">
        <f t="array" ref="H16">IF(INDEX($B:$B,ROW())="",0,INDEX(Spots!$B:$B,MATCH(INDEX($B:$B,ROW()),Spots!$A:$A,0)))</f>
        <v>2</v>
      </c>
      <c r="I16" s="107" cm="1">
        <f t="array" ref="I16">IF(INDEX($B:$B,ROW())="",0,INDEX(Spots!$C:$C,MATCH(INDEX($B:$B,ROW()),Spots!$A:$A,0)))</f>
        <v>-4</v>
      </c>
      <c r="J16" s="108" t="str" cm="1">
        <f t="array" ref="J16">IF(INDEX($B:$B,ROW())="","","["&amp;INDEX(H:H,ROW())&amp;","&amp;INDEX(I:I,ROW())&amp;"]")</f>
        <v>[2,-4]</v>
      </c>
      <c r="K16" s="13"/>
      <c r="T16" s="13"/>
    </row>
    <row r="17" spans="1:30" x14ac:dyDescent="0.3">
      <c r="A17" s="113" t="s">
        <v>27</v>
      </c>
      <c r="B17" s="113" t="s">
        <v>29</v>
      </c>
      <c r="C17" s="157"/>
      <c r="E17" s="107" cm="1">
        <f t="array" ref="E17">IF(INDEX($A:$A,ROW())="",0,INDEX(Spots!$B:$B,MATCH(INDEX($A:$A,ROW()),Spots!$A:$A,0)))</f>
        <v>2</v>
      </c>
      <c r="F17" s="107" cm="1">
        <f t="array" ref="F17">IF(INDEX($A:$A,ROW())="",0,INDEX(Spots!$C:$C,MATCH(INDEX($A:$A,ROW()),Spots!$A:$A,0)))</f>
        <v>-4</v>
      </c>
      <c r="G17" s="108" t="str" cm="1">
        <f t="array" ref="G17">IF(INDEX($A:$A,ROW())="","","["&amp;INDEX(E:E,ROW())&amp;","&amp;INDEX(F:F,ROW())&amp;"]")</f>
        <v>[2,-4]</v>
      </c>
      <c r="H17" s="109" cm="1">
        <f t="array" ref="H17">IF(INDEX($B:$B,ROW())="",0,INDEX(Spots!$B:$B,MATCH(INDEX($B:$B,ROW()),Spots!$A:$A,0)))</f>
        <v>2</v>
      </c>
      <c r="I17" s="107" cm="1">
        <f t="array" ref="I17">IF(INDEX($B:$B,ROW())="",0,INDEX(Spots!$C:$C,MATCH(INDEX($B:$B,ROW()),Spots!$A:$A,0)))</f>
        <v>-5</v>
      </c>
      <c r="J17" s="108" t="str" cm="1">
        <f t="array" ref="J17">IF(INDEX($B:$B,ROW())="","","["&amp;INDEX(H:H,ROW())&amp;","&amp;INDEX(I:I,ROW())&amp;"]")</f>
        <v>[2,-5]</v>
      </c>
      <c r="K17" s="13"/>
      <c r="T17" s="13"/>
    </row>
    <row r="18" spans="1:30" x14ac:dyDescent="0.3">
      <c r="A18" s="113" t="s">
        <v>29</v>
      </c>
      <c r="B18" s="113" t="s">
        <v>31</v>
      </c>
      <c r="C18" s="157"/>
      <c r="E18" s="107" cm="1">
        <f t="array" ref="E18">IF(INDEX($A:$A,ROW())="",0,INDEX(Spots!$B:$B,MATCH(INDEX($A:$A,ROW()),Spots!$A:$A,0)))</f>
        <v>2</v>
      </c>
      <c r="F18" s="107" cm="1">
        <f t="array" ref="F18">IF(INDEX($A:$A,ROW())="",0,INDEX(Spots!$C:$C,MATCH(INDEX($A:$A,ROW()),Spots!$A:$A,0)))</f>
        <v>-5</v>
      </c>
      <c r="G18" s="108" t="str" cm="1">
        <f t="array" ref="G18">IF(INDEX($A:$A,ROW())="","","["&amp;INDEX(E:E,ROW())&amp;","&amp;INDEX(F:F,ROW())&amp;"]")</f>
        <v>[2,-5]</v>
      </c>
      <c r="H18" s="109" cm="1">
        <f t="array" ref="H18">IF(INDEX($B:$B,ROW())="",0,INDEX(Spots!$B:$B,MATCH(INDEX($B:$B,ROW()),Spots!$A:$A,0)))</f>
        <v>2</v>
      </c>
      <c r="I18" s="107" cm="1">
        <f t="array" ref="I18">IF(INDEX($B:$B,ROW())="",0,INDEX(Spots!$C:$C,MATCH(INDEX($B:$B,ROW()),Spots!$A:$A,0)))</f>
        <v>-6</v>
      </c>
      <c r="J18" s="108" t="str" cm="1">
        <f t="array" ref="J18">IF(INDEX($B:$B,ROW())="","","["&amp;INDEX(H:H,ROW())&amp;","&amp;INDEX(I:I,ROW())&amp;"]")</f>
        <v>[2,-6]</v>
      </c>
      <c r="K18" s="13"/>
      <c r="T18" s="13"/>
    </row>
    <row r="19" spans="1:30" x14ac:dyDescent="0.3">
      <c r="A19" s="113"/>
      <c r="B19" s="113"/>
      <c r="C19" s="157"/>
      <c r="H19" s="109"/>
      <c r="I19" s="107"/>
      <c r="K19" s="13"/>
      <c r="T19" s="13"/>
    </row>
    <row r="20" spans="1:30" x14ac:dyDescent="0.3">
      <c r="A20" s="112" t="s">
        <v>8</v>
      </c>
      <c r="B20" s="112" t="s">
        <v>33</v>
      </c>
      <c r="C20" s="157"/>
      <c r="E20" s="107" cm="1">
        <f t="array" ref="E20">IF(INDEX($A:$A,ROW())="",0,INDEX(Spots!$B:$B,MATCH(INDEX($A:$A,ROW()),Spots!$A:$A,0)))</f>
        <v>3</v>
      </c>
      <c r="F20" s="107" cm="1">
        <f t="array" ref="F20">IF(INDEX($A:$A,ROW())="",0,INDEX(Spots!$C:$C,MATCH(INDEX($A:$A,ROW()),Spots!$A:$A,0)))</f>
        <v>0</v>
      </c>
      <c r="G20" s="108" t="str" cm="1">
        <f t="array" ref="G20">IF(INDEX($A:$A,ROW())="","","["&amp;INDEX(E:E,ROW())&amp;","&amp;INDEX(F:F,ROW())&amp;"]")</f>
        <v>[3,0]</v>
      </c>
      <c r="H20" s="109" cm="1">
        <f t="array" ref="H20">IF(INDEX($B:$B,ROW())="",0,INDEX(Spots!$B:$B,MATCH(INDEX($B:$B,ROW()),Spots!$A:$A,0)))</f>
        <v>3</v>
      </c>
      <c r="I20" s="107" cm="1">
        <f t="array" ref="I20">IF(INDEX($B:$B,ROW())="",0,INDEX(Spots!$C:$C,MATCH(INDEX($B:$B,ROW()),Spots!$A:$A,0)))</f>
        <v>1</v>
      </c>
      <c r="J20" s="108" t="str" cm="1">
        <f t="array" ref="J20">IF(INDEX($B:$B,ROW())="","","["&amp;INDEX(H:H,ROW())&amp;","&amp;INDEX(I:I,ROW())&amp;"]")</f>
        <v>[3,1]</v>
      </c>
      <c r="K20" s="13"/>
      <c r="T20" s="13"/>
    </row>
    <row r="21" spans="1:30" x14ac:dyDescent="0.3">
      <c r="A21" s="112" t="s">
        <v>33</v>
      </c>
      <c r="B21" s="112" t="s">
        <v>35</v>
      </c>
      <c r="C21" s="157"/>
      <c r="E21" s="107" cm="1">
        <f t="array" ref="E21">IF(INDEX($A:$A,ROW())="",0,INDEX(Spots!$B:$B,MATCH(INDEX($A:$A,ROW()),Spots!$A:$A,0)))</f>
        <v>3</v>
      </c>
      <c r="F21" s="107" cm="1">
        <f t="array" ref="F21">IF(INDEX($A:$A,ROW())="",0,INDEX(Spots!$C:$C,MATCH(INDEX($A:$A,ROW()),Spots!$A:$A,0)))</f>
        <v>1</v>
      </c>
      <c r="G21" s="108" t="str" cm="1">
        <f t="array" ref="G21">IF(INDEX($A:$A,ROW())="","","["&amp;INDEX(E:E,ROW())&amp;","&amp;INDEX(F:F,ROW())&amp;"]")</f>
        <v>[3,1]</v>
      </c>
      <c r="H21" s="109" cm="1">
        <f t="array" ref="H21">IF(INDEX($B:$B,ROW())="",0,INDEX(Spots!$B:$B,MATCH(INDEX($B:$B,ROW()),Spots!$A:$A,0)))</f>
        <v>3</v>
      </c>
      <c r="I21" s="107" cm="1">
        <f t="array" ref="I21">IF(INDEX($B:$B,ROW())="",0,INDEX(Spots!$C:$C,MATCH(INDEX($B:$B,ROW()),Spots!$A:$A,0)))</f>
        <v>2</v>
      </c>
      <c r="J21" s="108" t="str" cm="1">
        <f t="array" ref="J21">IF(INDEX($B:$B,ROW())="","","["&amp;INDEX(H:H,ROW())&amp;","&amp;INDEX(I:I,ROW())&amp;"]")</f>
        <v>[3,2]</v>
      </c>
      <c r="K21" s="13"/>
      <c r="T21" s="13"/>
      <c r="W21" s="152"/>
    </row>
    <row r="22" spans="1:30" x14ac:dyDescent="0.3">
      <c r="A22" s="112" t="s">
        <v>35</v>
      </c>
      <c r="B22" s="112" t="s">
        <v>38</v>
      </c>
      <c r="C22" s="157"/>
      <c r="E22" s="107" cm="1">
        <f t="array" ref="E22">IF(INDEX($A:$A,ROW())="",0,INDEX(Spots!$B:$B,MATCH(INDEX($A:$A,ROW()),Spots!$A:$A,0)))</f>
        <v>3</v>
      </c>
      <c r="F22" s="107" cm="1">
        <f t="array" ref="F22">IF(INDEX($A:$A,ROW())="",0,INDEX(Spots!$C:$C,MATCH(INDEX($A:$A,ROW()),Spots!$A:$A,0)))</f>
        <v>2</v>
      </c>
      <c r="G22" s="108" t="str" cm="1">
        <f t="array" ref="G22">IF(INDEX($A:$A,ROW())="","","["&amp;INDEX(E:E,ROW())&amp;","&amp;INDEX(F:F,ROW())&amp;"]")</f>
        <v>[3,2]</v>
      </c>
      <c r="H22" s="109" cm="1">
        <f t="array" ref="H22">IF(INDEX($B:$B,ROW())="",0,INDEX(Spots!$B:$B,MATCH(INDEX($B:$B,ROW()),Spots!$A:$A,0)))</f>
        <v>3</v>
      </c>
      <c r="I22" s="107" cm="1">
        <f t="array" ref="I22">IF(INDEX($B:$B,ROW())="",0,INDEX(Spots!$C:$C,MATCH(INDEX($B:$B,ROW()),Spots!$A:$A,0)))</f>
        <v>3</v>
      </c>
      <c r="J22" s="108" t="str" cm="1">
        <f t="array" ref="J22">IF(INDEX($B:$B,ROW())="","","["&amp;INDEX(H:H,ROW())&amp;","&amp;INDEX(I:I,ROW())&amp;"]")</f>
        <v>[3,3]</v>
      </c>
      <c r="K22" s="13"/>
      <c r="T22" s="13"/>
    </row>
    <row r="23" spans="1:30" x14ac:dyDescent="0.3">
      <c r="A23" s="112" t="s">
        <v>38</v>
      </c>
      <c r="B23" s="112" t="s">
        <v>40</v>
      </c>
      <c r="C23" s="157"/>
      <c r="E23" s="107" cm="1">
        <f t="array" ref="E23">IF(INDEX($A:$A,ROW())="",0,INDEX(Spots!$B:$B,MATCH(INDEX($A:$A,ROW()),Spots!$A:$A,0)))</f>
        <v>3</v>
      </c>
      <c r="F23" s="107" cm="1">
        <f t="array" ref="F23">IF(INDEX($A:$A,ROW())="",0,INDEX(Spots!$C:$C,MATCH(INDEX($A:$A,ROW()),Spots!$A:$A,0)))</f>
        <v>3</v>
      </c>
      <c r="G23" s="108" t="str" cm="1">
        <f t="array" ref="G23">IF(INDEX($A:$A,ROW())="","","["&amp;INDEX(E:E,ROW())&amp;","&amp;INDEX(F:F,ROW())&amp;"]")</f>
        <v>[3,3]</v>
      </c>
      <c r="H23" s="109" cm="1">
        <f t="array" ref="H23">IF(INDEX($B:$B,ROW())="",0,INDEX(Spots!$B:$B,MATCH(INDEX($B:$B,ROW()),Spots!$A:$A,0)))</f>
        <v>3</v>
      </c>
      <c r="I23" s="107" cm="1">
        <f t="array" ref="I23">IF(INDEX($B:$B,ROW())="",0,INDEX(Spots!$C:$C,MATCH(INDEX($B:$B,ROW()),Spots!$A:$A,0)))</f>
        <v>4</v>
      </c>
      <c r="J23" s="108" t="str" cm="1">
        <f t="array" ref="J23">IF(INDEX($B:$B,ROW())="","","["&amp;INDEX(H:H,ROW())&amp;","&amp;INDEX(I:I,ROW())&amp;"]")</f>
        <v>[3,4]</v>
      </c>
      <c r="K23" s="13"/>
      <c r="T23" s="13"/>
    </row>
    <row r="24" spans="1:30" x14ac:dyDescent="0.3">
      <c r="A24" s="112" t="s">
        <v>40</v>
      </c>
      <c r="B24" s="112" t="s">
        <v>42</v>
      </c>
      <c r="C24" s="157"/>
      <c r="E24" s="107" cm="1">
        <f t="array" ref="E24">IF(INDEX($A:$A,ROW())="",0,INDEX(Spots!$B:$B,MATCH(INDEX($A:$A,ROW()),Spots!$A:$A,0)))</f>
        <v>3</v>
      </c>
      <c r="F24" s="107" cm="1">
        <f t="array" ref="F24">IF(INDEX($A:$A,ROW())="",0,INDEX(Spots!$C:$C,MATCH(INDEX($A:$A,ROW()),Spots!$A:$A,0)))</f>
        <v>4</v>
      </c>
      <c r="G24" s="108" t="str" cm="1">
        <f t="array" ref="G24">IF(INDEX($A:$A,ROW())="","","["&amp;INDEX(E:E,ROW())&amp;","&amp;INDEX(F:F,ROW())&amp;"]")</f>
        <v>[3,4]</v>
      </c>
      <c r="H24" s="109" cm="1">
        <f t="array" ref="H24">IF(INDEX($B:$B,ROW())="",0,INDEX(Spots!$B:$B,MATCH(INDEX($B:$B,ROW()),Spots!$A:$A,0)))</f>
        <v>3</v>
      </c>
      <c r="I24" s="107" cm="1">
        <f t="array" ref="I24">IF(INDEX($B:$B,ROW())="",0,INDEX(Spots!$C:$C,MATCH(INDEX($B:$B,ROW()),Spots!$A:$A,0)))</f>
        <v>5</v>
      </c>
      <c r="J24" s="108" t="str" cm="1">
        <f t="array" ref="J24">IF(INDEX($B:$B,ROW())="","","["&amp;INDEX(H:H,ROW())&amp;","&amp;INDEX(I:I,ROW())&amp;"]")</f>
        <v>[3,5]</v>
      </c>
      <c r="K24" s="13"/>
      <c r="T24" s="13"/>
    </row>
    <row r="25" spans="1:30" x14ac:dyDescent="0.3">
      <c r="A25" s="112" t="s">
        <v>42</v>
      </c>
      <c r="B25" s="112" t="s">
        <v>44</v>
      </c>
      <c r="C25" s="157"/>
      <c r="E25" s="107" cm="1">
        <f t="array" ref="E25">IF(INDEX($A:$A,ROW())="",0,INDEX(Spots!$B:$B,MATCH(INDEX($A:$A,ROW()),Spots!$A:$A,0)))</f>
        <v>3</v>
      </c>
      <c r="F25" s="107" cm="1">
        <f t="array" ref="F25">IF(INDEX($A:$A,ROW())="",0,INDEX(Spots!$C:$C,MATCH(INDEX($A:$A,ROW()),Spots!$A:$A,0)))</f>
        <v>5</v>
      </c>
      <c r="G25" s="108" t="str" cm="1">
        <f t="array" ref="G25">IF(INDEX($A:$A,ROW())="","","["&amp;INDEX(E:E,ROW())&amp;","&amp;INDEX(F:F,ROW())&amp;"]")</f>
        <v>[3,5]</v>
      </c>
      <c r="H25" s="109" cm="1">
        <f t="array" ref="H25">IF(INDEX($B:$B,ROW())="",0,INDEX(Spots!$B:$B,MATCH(INDEX($B:$B,ROW()),Spots!$A:$A,0)))</f>
        <v>3</v>
      </c>
      <c r="I25" s="107" cm="1">
        <f t="array" ref="I25">IF(INDEX($B:$B,ROW())="",0,INDEX(Spots!$C:$C,MATCH(INDEX($B:$B,ROW()),Spots!$A:$A,0)))</f>
        <v>6</v>
      </c>
      <c r="J25" s="108" t="str" cm="1">
        <f t="array" ref="J25">IF(INDEX($B:$B,ROW())="","","["&amp;INDEX(H:H,ROW())&amp;","&amp;INDEX(I:I,ROW())&amp;"]")</f>
        <v>[3,6]</v>
      </c>
      <c r="K25" s="13"/>
      <c r="T25" s="13"/>
      <c r="AD25" s="13"/>
    </row>
    <row r="26" spans="1:30" s="13" customFormat="1" ht="14.4" customHeight="1" x14ac:dyDescent="0.3">
      <c r="A26" s="112" t="s">
        <v>44</v>
      </c>
      <c r="B26" s="112" t="s">
        <v>19</v>
      </c>
      <c r="C26" s="157"/>
      <c r="D26" s="114" t="s">
        <v>90</v>
      </c>
      <c r="E26" s="107" cm="1">
        <f t="array" ref="E26">IF(INDEX($A:$A,ROW())="",0,INDEX(Spots!$B:$B,MATCH(INDEX($A:$A,ROW()),Spots!$A:$A,0)))</f>
        <v>3</v>
      </c>
      <c r="F26" s="107" cm="1">
        <f t="array" ref="F26">IF(INDEX($A:$A,ROW())="",0,INDEX(Spots!$C:$C,MATCH(INDEX($A:$A,ROW()),Spots!$A:$A,0)))</f>
        <v>6</v>
      </c>
      <c r="G26" s="108" t="str" cm="1">
        <f t="array" ref="G26">IF(INDEX($A:$A,ROW())="","","["&amp;INDEX(E:E,ROW())&amp;","&amp;INDEX(F:F,ROW())&amp;"]")</f>
        <v>[3,6]</v>
      </c>
      <c r="H26" s="109" cm="1">
        <f t="array" ref="H26">IF(INDEX($B:$B,ROW())="",0,INDEX(Spots!$B:$B,MATCH(INDEX($B:$B,ROW()),Spots!$A:$A,0)))</f>
        <v>1</v>
      </c>
      <c r="I26" s="107" cm="1">
        <f t="array" ref="I26">IF(INDEX($B:$B,ROW())="",0,INDEX(Spots!$C:$C,MATCH(INDEX($B:$B,ROW()),Spots!$A:$A,0)))</f>
        <v>6</v>
      </c>
      <c r="J26" s="108" t="str" cm="1">
        <f t="array" ref="J26">IF(INDEX($B:$B,ROW())="","","["&amp;INDEX(H:H,ROW())&amp;","&amp;INDEX(I:I,ROW())&amp;"]")</f>
        <v>[1,6]</v>
      </c>
    </row>
    <row r="27" spans="1:30" s="13" customFormat="1" ht="14.4" customHeight="1" x14ac:dyDescent="0.3">
      <c r="A27" s="112"/>
      <c r="B27" s="112"/>
      <c r="C27" s="157"/>
      <c r="D27" s="149"/>
      <c r="E27" s="107"/>
      <c r="F27" s="107"/>
      <c r="G27" s="108"/>
      <c r="H27" s="109"/>
      <c r="I27" s="107"/>
      <c r="J27" s="108"/>
    </row>
    <row r="28" spans="1:30" x14ac:dyDescent="0.3">
      <c r="A28" s="115" t="s">
        <v>85</v>
      </c>
      <c r="B28" s="115" t="s">
        <v>84</v>
      </c>
      <c r="E28" s="107" cm="1">
        <f t="array" ref="E28">IF(INDEX($A:$A,ROW())="",0,INDEX(Spots!$B:$B,MATCH(INDEX($A:$A,ROW()),Spots!$A:$A,0)))</f>
        <v>-10</v>
      </c>
      <c r="F28" s="107" cm="1">
        <f t="array" ref="F28">IF(INDEX($A:$A,ROW())="",0,INDEX(Spots!$C:$C,MATCH(INDEX($A:$A,ROW()),Spots!$A:$A,0)))</f>
        <v>-10</v>
      </c>
      <c r="G28" s="108" t="str" cm="1">
        <f t="array" ref="G28">IF(INDEX($A:$A,ROW())="","","["&amp;INDEX(E:E,ROW())&amp;","&amp;INDEX(F:F,ROW())&amp;"]")</f>
        <v>[-10,-10]</v>
      </c>
      <c r="H28" s="109" cm="1">
        <f t="array" ref="H28">IF(INDEX($B:$B,ROW())="",0,INDEX(Spots!$B:$B,MATCH(INDEX($B:$B,ROW()),Spots!$A:$A,0)))</f>
        <v>10</v>
      </c>
      <c r="I28" s="107" cm="1">
        <f t="array" ref="I28">IF(INDEX($B:$B,ROW())="",0,INDEX(Spots!$C:$C,MATCH(INDEX($B:$B,ROW()),Spots!$A:$A,0)))</f>
        <v>-10</v>
      </c>
      <c r="J28" s="108" t="str" cm="1">
        <f t="array" ref="J28">IF(INDEX($B:$B,ROW())="","","["&amp;INDEX(H:H,ROW())&amp;","&amp;INDEX(I:I,ROW())&amp;"]")</f>
        <v>[10,-10]</v>
      </c>
    </row>
    <row r="29" spans="1:30" x14ac:dyDescent="0.3">
      <c r="A29" s="115" t="s">
        <v>84</v>
      </c>
      <c r="B29" s="115" t="s">
        <v>86</v>
      </c>
      <c r="E29" s="107" cm="1">
        <f t="array" ref="E29">IF(INDEX($A:$A,ROW())="",0,INDEX(Spots!$B:$B,MATCH(INDEX($A:$A,ROW()),Spots!$A:$A,0)))</f>
        <v>10</v>
      </c>
      <c r="F29" s="107" cm="1">
        <f t="array" ref="F29">IF(INDEX($A:$A,ROW())="",0,INDEX(Spots!$C:$C,MATCH(INDEX($A:$A,ROW()),Spots!$A:$A,0)))</f>
        <v>-10</v>
      </c>
      <c r="G29" s="108" t="str" cm="1">
        <f t="array" ref="G29">IF(INDEX($A:$A,ROW())="","","["&amp;INDEX(E:E,ROW())&amp;","&amp;INDEX(F:F,ROW())&amp;"]")</f>
        <v>[10,-10]</v>
      </c>
      <c r="H29" s="109" cm="1">
        <f t="array" ref="H29">IF(INDEX($B:$B,ROW())="",0,INDEX(Spots!$B:$B,MATCH(INDEX($B:$B,ROW()),Spots!$A:$A,0)))</f>
        <v>10</v>
      </c>
      <c r="I29" s="107" cm="1">
        <f t="array" ref="I29">IF(INDEX($B:$B,ROW())="",0,INDEX(Spots!$C:$C,MATCH(INDEX($B:$B,ROW()),Spots!$A:$A,0)))</f>
        <v>10</v>
      </c>
      <c r="J29" s="108" t="str" cm="1">
        <f t="array" ref="J29">IF(INDEX($B:$B,ROW())="","","["&amp;INDEX(H:H,ROW())&amp;","&amp;INDEX(I:I,ROW())&amp;"]")</f>
        <v>[10,10]</v>
      </c>
    </row>
    <row r="30" spans="1:30" x14ac:dyDescent="0.3">
      <c r="A30" s="115" t="s">
        <v>86</v>
      </c>
      <c r="B30" s="115" t="s">
        <v>87</v>
      </c>
      <c r="E30" s="107" cm="1">
        <f t="array" ref="E30">IF(INDEX($A:$A,ROW())="",0,INDEX(Spots!$B:$B,MATCH(INDEX($A:$A,ROW()),Spots!$A:$A,0)))</f>
        <v>10</v>
      </c>
      <c r="F30" s="107" cm="1">
        <f t="array" ref="F30">IF(INDEX($A:$A,ROW())="",0,INDEX(Spots!$C:$C,MATCH(INDEX($A:$A,ROW()),Spots!$A:$A,0)))</f>
        <v>10</v>
      </c>
      <c r="G30" s="108" t="str" cm="1">
        <f t="array" ref="G30">IF(INDEX($A:$A,ROW())="","","["&amp;INDEX(E:E,ROW())&amp;","&amp;INDEX(F:F,ROW())&amp;"]")</f>
        <v>[10,10]</v>
      </c>
      <c r="H30" s="109" cm="1">
        <f t="array" ref="H30">IF(INDEX($B:$B,ROW())="",0,INDEX(Spots!$B:$B,MATCH(INDEX($B:$B,ROW()),Spots!$A:$A,0)))</f>
        <v>-10</v>
      </c>
      <c r="I30" s="107" cm="1">
        <f t="array" ref="I30">IF(INDEX($B:$B,ROW())="",0,INDEX(Spots!$C:$C,MATCH(INDEX($B:$B,ROW()),Spots!$A:$A,0)))</f>
        <v>10</v>
      </c>
      <c r="J30" s="108" t="str" cm="1">
        <f t="array" ref="J30">IF(INDEX($B:$B,ROW())="","","["&amp;INDEX(H:H,ROW())&amp;","&amp;INDEX(I:I,ROW())&amp;"]")</f>
        <v>[-10,10]</v>
      </c>
    </row>
    <row r="31" spans="1:30" x14ac:dyDescent="0.3">
      <c r="A31" s="115" t="s">
        <v>87</v>
      </c>
      <c r="B31" s="115" t="s">
        <v>85</v>
      </c>
      <c r="E31" s="107" cm="1">
        <f t="array" ref="E31">IF(INDEX($A:$A,ROW())="",0,INDEX(Spots!$B:$B,MATCH(INDEX($A:$A,ROW()),Spots!$A:$A,0)))</f>
        <v>-10</v>
      </c>
      <c r="F31" s="107" cm="1">
        <f t="array" ref="F31">IF(INDEX($A:$A,ROW())="",0,INDEX(Spots!$C:$C,MATCH(INDEX($A:$A,ROW()),Spots!$A:$A,0)))</f>
        <v>10</v>
      </c>
      <c r="G31" s="108" t="str" cm="1">
        <f t="array" ref="G31">IF(INDEX($A:$A,ROW())="","","["&amp;INDEX(E:E,ROW())&amp;","&amp;INDEX(F:F,ROW())&amp;"]")</f>
        <v>[-10,10]</v>
      </c>
      <c r="H31" s="109" cm="1">
        <f t="array" ref="H31">IF(INDEX($B:$B,ROW())="",0,INDEX(Spots!$B:$B,MATCH(INDEX($B:$B,ROW()),Spots!$A:$A,0)))</f>
        <v>-10</v>
      </c>
      <c r="I31" s="107" cm="1">
        <f t="array" ref="I31">IF(INDEX($B:$B,ROW())="",0,INDEX(Spots!$C:$C,MATCH(INDEX($B:$B,ROW()),Spots!$A:$A,0)))</f>
        <v>-10</v>
      </c>
      <c r="J31" s="108" t="str" cm="1">
        <f t="array" ref="J31">IF(INDEX($B:$B,ROW())="","","["&amp;INDEX(H:H,ROW())&amp;","&amp;INDEX(I:I,ROW())&amp;"]")</f>
        <v>[-10,-10]</v>
      </c>
    </row>
    <row r="32" spans="1:30" x14ac:dyDescent="0.3">
      <c r="A32" s="115"/>
      <c r="B32" s="115"/>
      <c r="H32" s="109"/>
      <c r="I32" s="107"/>
    </row>
    <row r="33" spans="1:10" x14ac:dyDescent="0.3">
      <c r="A33" s="116" t="s">
        <v>85</v>
      </c>
      <c r="B33" s="116" t="s">
        <v>85</v>
      </c>
      <c r="E33" s="107" cm="1">
        <f t="array" ref="E33">IF(INDEX($A:$A,ROW())="",0,INDEX(Spots!$B:$B,MATCH(INDEX($A:$A,ROW()),Spots!$A:$A,0)))</f>
        <v>-10</v>
      </c>
      <c r="F33" s="107" cm="1">
        <f t="array" ref="F33">IF(INDEX($A:$A,ROW())="",0,INDEX(Spots!$C:$C,MATCH(INDEX($A:$A,ROW()),Spots!$A:$A,0)))</f>
        <v>-10</v>
      </c>
      <c r="G33" s="108" t="str" cm="1">
        <f t="array" ref="G33">IF(INDEX($A:$A,ROW())="","","["&amp;INDEX(E:E,ROW())&amp;","&amp;INDEX(F:F,ROW())&amp;"]")</f>
        <v>[-10,-10]</v>
      </c>
      <c r="H33" s="109" cm="1">
        <f t="array" ref="H33">IF(INDEX($B:$B,ROW())="",0,INDEX(Spots!$B:$B,MATCH(INDEX($B:$B,ROW()),Spots!$A:$A,0)))</f>
        <v>-10</v>
      </c>
      <c r="I33" s="107" cm="1">
        <f t="array" ref="I33">IF(INDEX($B:$B,ROW())="",0,INDEX(Spots!$C:$C,MATCH(INDEX($B:$B,ROW()),Spots!$A:$A,0)))</f>
        <v>-10</v>
      </c>
      <c r="J33" s="108" t="str" cm="1">
        <f t="array" ref="J33">IF(INDEX($B:$B,ROW())="","","["&amp;INDEX(H:H,ROW())&amp;","&amp;INDEX(I:I,ROW())&amp;"]")</f>
        <v>[-10,-10]</v>
      </c>
    </row>
    <row r="34" spans="1:10" x14ac:dyDescent="0.3">
      <c r="A34" s="116" t="s">
        <v>85</v>
      </c>
      <c r="B34" s="116" t="s">
        <v>85</v>
      </c>
      <c r="E34" s="107" cm="1">
        <f t="array" ref="E34">IF(INDEX($A:$A,ROW())="",0,INDEX(Spots!$B:$B,MATCH(INDEX($A:$A,ROW()),Spots!$A:$A,0)))</f>
        <v>-10</v>
      </c>
      <c r="F34" s="107" cm="1">
        <f t="array" ref="F34">IF(INDEX($A:$A,ROW())="",0,INDEX(Spots!$C:$C,MATCH(INDEX($A:$A,ROW()),Spots!$A:$A,0)))</f>
        <v>-10</v>
      </c>
      <c r="G34" s="108" t="str" cm="1">
        <f t="array" ref="G34">IF(INDEX($A:$A,ROW())="","","["&amp;INDEX(E:E,ROW())&amp;","&amp;INDEX(F:F,ROW())&amp;"]")</f>
        <v>[-10,-10]</v>
      </c>
      <c r="H34" s="109" cm="1">
        <f t="array" ref="H34">IF(INDEX($B:$B,ROW())="",0,INDEX(Spots!$B:$B,MATCH(INDEX($B:$B,ROW()),Spots!$A:$A,0)))</f>
        <v>-10</v>
      </c>
      <c r="I34" s="107" cm="1">
        <f t="array" ref="I34">IF(INDEX($B:$B,ROW())="",0,INDEX(Spots!$C:$C,MATCH(INDEX($B:$B,ROW()),Spots!$A:$A,0)))</f>
        <v>-10</v>
      </c>
      <c r="J34" s="108" t="str" cm="1">
        <f t="array" ref="J34">IF(INDEX($B:$B,ROW())="","","["&amp;INDEX(H:H,ROW())&amp;","&amp;INDEX(I:I,ROW())&amp;"]")</f>
        <v>[-10,-10]</v>
      </c>
    </row>
    <row r="35" spans="1:10" x14ac:dyDescent="0.3">
      <c r="A35" s="116" t="s">
        <v>85</v>
      </c>
      <c r="B35" s="116" t="s">
        <v>85</v>
      </c>
      <c r="E35" s="107" cm="1">
        <f t="array" ref="E35">IF(INDEX($A:$A,ROW())="",0,INDEX(Spots!$B:$B,MATCH(INDEX($A:$A,ROW()),Spots!$A:$A,0)))</f>
        <v>-10</v>
      </c>
      <c r="F35" s="107" cm="1">
        <f t="array" ref="F35">IF(INDEX($A:$A,ROW())="",0,INDEX(Spots!$C:$C,MATCH(INDEX($A:$A,ROW()),Spots!$A:$A,0)))</f>
        <v>-10</v>
      </c>
      <c r="G35" s="108" t="str" cm="1">
        <f t="array" ref="G35">IF(INDEX($A:$A,ROW())="","","["&amp;INDEX(E:E,ROW())&amp;","&amp;INDEX(F:F,ROW())&amp;"]")</f>
        <v>[-10,-10]</v>
      </c>
      <c r="H35" s="109" cm="1">
        <f t="array" ref="H35">IF(INDEX($B:$B,ROW())="",0,INDEX(Spots!$B:$B,MATCH(INDEX($B:$B,ROW()),Spots!$A:$A,0)))</f>
        <v>-10</v>
      </c>
      <c r="I35" s="107" cm="1">
        <f t="array" ref="I35">IF(INDEX($B:$B,ROW())="",0,INDEX(Spots!$C:$C,MATCH(INDEX($B:$B,ROW()),Spots!$A:$A,0)))</f>
        <v>-10</v>
      </c>
      <c r="J35" s="108" t="str" cm="1">
        <f t="array" ref="J35">IF(INDEX($B:$B,ROW())="","","["&amp;INDEX(H:H,ROW())&amp;","&amp;INDEX(I:I,ROW())&amp;"]")</f>
        <v>[-10,-10]</v>
      </c>
    </row>
    <row r="36" spans="1:10" x14ac:dyDescent="0.3">
      <c r="A36" s="116" t="s">
        <v>85</v>
      </c>
      <c r="B36" s="116" t="s">
        <v>85</v>
      </c>
      <c r="E36" s="107" cm="1">
        <f t="array" ref="E36">IF(INDEX($A:$A,ROW())="",0,INDEX(Spots!$B:$B,MATCH(INDEX($A:$A,ROW()),Spots!$A:$A,0)))</f>
        <v>-10</v>
      </c>
      <c r="F36" s="107" cm="1">
        <f t="array" ref="F36">IF(INDEX($A:$A,ROW())="",0,INDEX(Spots!$C:$C,MATCH(INDEX($A:$A,ROW()),Spots!$A:$A,0)))</f>
        <v>-10</v>
      </c>
      <c r="G36" s="108" t="str" cm="1">
        <f t="array" ref="G36">IF(INDEX($A:$A,ROW())="","","["&amp;INDEX(E:E,ROW())&amp;","&amp;INDEX(F:F,ROW())&amp;"]")</f>
        <v>[-10,-10]</v>
      </c>
      <c r="H36" s="109" cm="1">
        <f t="array" ref="H36">IF(INDEX($B:$B,ROW())="",0,INDEX(Spots!$B:$B,MATCH(INDEX($B:$B,ROW()),Spots!$A:$A,0)))</f>
        <v>-10</v>
      </c>
      <c r="I36" s="107" cm="1">
        <f t="array" ref="I36">IF(INDEX($B:$B,ROW())="",0,INDEX(Spots!$C:$C,MATCH(INDEX($B:$B,ROW()),Spots!$A:$A,0)))</f>
        <v>-10</v>
      </c>
      <c r="J36" s="108" t="str" cm="1">
        <f t="array" ref="J36">IF(INDEX($B:$B,ROW())="","","["&amp;INDEX(H:H,ROW())&amp;","&amp;INDEX(I:I,ROW())&amp;"]")</f>
        <v>[-10,-10]</v>
      </c>
    </row>
    <row r="37" spans="1:10" x14ac:dyDescent="0.3">
      <c r="A37" s="178"/>
      <c r="B37" s="178"/>
      <c r="E37" s="107" cm="1">
        <f t="array" ref="E37">IF(INDEX($A:$A,ROW())="",0,INDEX(Spots!$B:$B,MATCH(INDEX($A:$A,ROW()),Spots!$A:$A,0)))</f>
        <v>0</v>
      </c>
      <c r="F37" s="107" cm="1">
        <f t="array" ref="F37">IF(INDEX($A:$A,ROW())="",0,INDEX(Spots!$C:$C,MATCH(INDEX($A:$A,ROW()),Spots!$A:$A,0)))</f>
        <v>0</v>
      </c>
      <c r="H37" s="109" cm="1">
        <f t="array" ref="H37">IF(INDEX($B:$B,ROW())="",0,INDEX(Spots!$B:$B,MATCH(INDEX($B:$B,ROW()),Spots!$A:$A,0)))</f>
        <v>0</v>
      </c>
      <c r="I37" s="107" cm="1">
        <f t="array" ref="I37">IF(INDEX($B:$B,ROW())="",0,INDEX(Spots!$C:$C,MATCH(INDEX($B:$B,ROW()),Spots!$A:$A,0)))</f>
        <v>0</v>
      </c>
    </row>
    <row r="38" spans="1:10" x14ac:dyDescent="0.3">
      <c r="A38" s="116"/>
      <c r="B38" s="116"/>
      <c r="E38" s="107" cm="1">
        <f t="array" ref="E38">IF(INDEX($A:$A,ROW())="",0,INDEX(Spots!$B:$B,MATCH(INDEX($A:$A,ROW()),Spots!$A:$A,0)))</f>
        <v>0</v>
      </c>
      <c r="F38" s="107" cm="1">
        <f t="array" ref="F38">IF(INDEX($A:$A,ROW())="",0,INDEX(Spots!$C:$C,MATCH(INDEX($A:$A,ROW()),Spots!$A:$A,0)))</f>
        <v>0</v>
      </c>
      <c r="H38" s="109" cm="1">
        <f t="array" ref="H38">IF(INDEX($B:$B,ROW())="",0,INDEX(Spots!$B:$B,MATCH(INDEX($B:$B,ROW()),Spots!$A:$A,0)))</f>
        <v>0</v>
      </c>
      <c r="I38" s="107" cm="1">
        <f t="array" ref="I38">IF(INDEX($B:$B,ROW())="",0,INDEX(Spots!$C:$C,MATCH(INDEX($B:$B,ROW()),Spots!$A:$A,0)))</f>
        <v>0</v>
      </c>
    </row>
    <row r="39" spans="1:10" x14ac:dyDescent="0.3">
      <c r="A39" s="116"/>
      <c r="B39" s="116"/>
      <c r="E39" s="107" cm="1">
        <f t="array" ref="E39">IF(INDEX($A:$A,ROW())="",0,INDEX(Spots!$B:$B,MATCH(INDEX($A:$A,ROW()),Spots!$A:$A,0)))</f>
        <v>0</v>
      </c>
      <c r="F39" s="107" cm="1">
        <f t="array" ref="F39">IF(INDEX($A:$A,ROW())="",0,INDEX(Spots!$C:$C,MATCH(INDEX($A:$A,ROW()),Spots!$A:$A,0)))</f>
        <v>0</v>
      </c>
      <c r="H39" s="109" cm="1">
        <f t="array" ref="H39">IF(INDEX($B:$B,ROW())="",0,INDEX(Spots!$B:$B,MATCH(INDEX($B:$B,ROW()),Spots!$A:$A,0)))</f>
        <v>0</v>
      </c>
      <c r="I39" s="107" cm="1">
        <f t="array" ref="I39">IF(INDEX($B:$B,ROW())="",0,INDEX(Spots!$C:$C,MATCH(INDEX($B:$B,ROW()),Spots!$A:$A,0)))</f>
        <v>0</v>
      </c>
    </row>
    <row r="40" spans="1:10" x14ac:dyDescent="0.3">
      <c r="A40" s="116"/>
      <c r="B40" s="116"/>
      <c r="E40" s="107" cm="1">
        <f t="array" ref="E40">IF(INDEX($A:$A,ROW())="",0,INDEX(Spots!$B:$B,MATCH(INDEX($A:$A,ROW()),Spots!$A:$A,0)))</f>
        <v>0</v>
      </c>
      <c r="F40" s="107" cm="1">
        <f t="array" ref="F40">IF(INDEX($A:$A,ROW())="",0,INDEX(Spots!$C:$C,MATCH(INDEX($A:$A,ROW()),Spots!$A:$A,0)))</f>
        <v>0</v>
      </c>
      <c r="H40" s="109" cm="1">
        <f t="array" ref="H40">IF(INDEX($B:$B,ROW())="",0,INDEX(Spots!$B:$B,MATCH(INDEX($B:$B,ROW()),Spots!$A:$A,0)))</f>
        <v>0</v>
      </c>
      <c r="I40" s="107" cm="1">
        <f t="array" ref="I40">IF(INDEX($B:$B,ROW())="",0,INDEX(Spots!$C:$C,MATCH(INDEX($B:$B,ROW()),Spots!$A:$A,0)))</f>
        <v>0</v>
      </c>
    </row>
    <row r="41" spans="1:10" x14ac:dyDescent="0.3">
      <c r="A41" s="116"/>
      <c r="B41" s="116"/>
      <c r="E41" s="107" cm="1">
        <f t="array" ref="E41">IF(INDEX($A:$A,ROW())="",0,INDEX(Spots!$B:$B,MATCH(INDEX($A:$A,ROW()),Spots!$A:$A,0)))</f>
        <v>0</v>
      </c>
      <c r="F41" s="107" cm="1">
        <f t="array" ref="F41">IF(INDEX($A:$A,ROW())="",0,INDEX(Spots!$C:$C,MATCH(INDEX($A:$A,ROW()),Spots!$A:$A,0)))</f>
        <v>0</v>
      </c>
      <c r="H41" s="109" cm="1">
        <f t="array" ref="H41">IF(INDEX($B:$B,ROW())="",0,INDEX(Spots!$B:$B,MATCH(INDEX($B:$B,ROW()),Spots!$A:$A,0)))</f>
        <v>0</v>
      </c>
      <c r="I41" s="107" cm="1">
        <f t="array" ref="I41">IF(INDEX($B:$B,ROW())="",0,INDEX(Spots!$C:$C,MATCH(INDEX($B:$B,ROW()),Spots!$A:$A,0)))</f>
        <v>0</v>
      </c>
    </row>
    <row r="42" spans="1:10" x14ac:dyDescent="0.3">
      <c r="A42" s="116"/>
      <c r="B42" s="116"/>
      <c r="E42" s="107" cm="1">
        <f t="array" ref="E42">IF(INDEX($A:$A,ROW())="",0,INDEX(Spots!$B:$B,MATCH(INDEX($A:$A,ROW()),Spots!$A:$A,0)))</f>
        <v>0</v>
      </c>
      <c r="F42" s="107" cm="1">
        <f t="array" ref="F42">IF(INDEX($A:$A,ROW())="",0,INDEX(Spots!$C:$C,MATCH(INDEX($A:$A,ROW()),Spots!$A:$A,0)))</f>
        <v>0</v>
      </c>
      <c r="H42" s="109" cm="1">
        <f t="array" ref="H42">IF(INDEX($B:$B,ROW())="",0,INDEX(Spots!$B:$B,MATCH(INDEX($B:$B,ROW()),Spots!$A:$A,0)))</f>
        <v>0</v>
      </c>
      <c r="I42" s="107" cm="1">
        <f t="array" ref="I42">IF(INDEX($B:$B,ROW())="",0,INDEX(Spots!$C:$C,MATCH(INDEX($B:$B,ROW()),Spots!$A:$A,0)))</f>
        <v>0</v>
      </c>
    </row>
    <row r="43" spans="1:10" x14ac:dyDescent="0.3">
      <c r="A43" s="116"/>
      <c r="B43" s="116"/>
      <c r="H43" s="109"/>
      <c r="I43" s="107"/>
    </row>
    <row r="44" spans="1:10" x14ac:dyDescent="0.3">
      <c r="A44" s="116"/>
      <c r="B44" s="116"/>
      <c r="H44" s="109"/>
      <c r="I44" s="107"/>
    </row>
    <row r="45" spans="1:10" x14ac:dyDescent="0.3">
      <c r="A45" s="116"/>
      <c r="B45" s="116"/>
      <c r="H45" s="109"/>
      <c r="I45" s="107"/>
    </row>
    <row r="46" spans="1:10" x14ac:dyDescent="0.3">
      <c r="A46" s="116"/>
      <c r="B46" s="116"/>
      <c r="H46" s="109"/>
      <c r="I46" s="107"/>
    </row>
    <row r="47" spans="1:10" x14ac:dyDescent="0.3">
      <c r="A47" s="116"/>
      <c r="B47" s="116"/>
      <c r="H47" s="109"/>
      <c r="I47" s="107"/>
    </row>
    <row r="48" spans="1:10" x14ac:dyDescent="0.3">
      <c r="A48" s="116"/>
      <c r="B48" s="116"/>
      <c r="H48" s="109"/>
      <c r="I48" s="107"/>
    </row>
    <row r="49" spans="1:14" x14ac:dyDescent="0.3">
      <c r="A49" s="116"/>
      <c r="B49" s="116"/>
      <c r="H49" s="109"/>
      <c r="I49" s="107"/>
    </row>
    <row r="50" spans="1:14" x14ac:dyDescent="0.3">
      <c r="A50" s="116"/>
      <c r="B50" s="116"/>
      <c r="H50" s="109"/>
      <c r="I50" s="107"/>
    </row>
    <row r="51" spans="1:14" x14ac:dyDescent="0.3">
      <c r="A51" s="116"/>
      <c r="B51" s="116"/>
      <c r="H51" s="109"/>
      <c r="I51" s="107"/>
    </row>
    <row r="52" spans="1:14" x14ac:dyDescent="0.3">
      <c r="A52" s="116"/>
      <c r="B52" s="116"/>
      <c r="H52" s="109"/>
      <c r="I52" s="107"/>
    </row>
    <row r="53" spans="1:14" x14ac:dyDescent="0.3">
      <c r="A53" s="116"/>
      <c r="B53" s="116"/>
      <c r="H53" s="109"/>
      <c r="I53" s="107"/>
    </row>
    <row r="54" spans="1:14" x14ac:dyDescent="0.3">
      <c r="A54" s="116"/>
      <c r="B54" s="116"/>
      <c r="H54" s="109"/>
      <c r="I54" s="107"/>
    </row>
    <row r="55" spans="1:14" x14ac:dyDescent="0.3">
      <c r="A55" s="116"/>
      <c r="B55" s="116"/>
      <c r="H55" s="109"/>
      <c r="I55" s="107"/>
    </row>
    <row r="56" spans="1:14" x14ac:dyDescent="0.3">
      <c r="A56" s="116"/>
      <c r="B56" s="116"/>
      <c r="H56" s="109"/>
      <c r="I56" s="107"/>
    </row>
    <row r="57" spans="1:14" x14ac:dyDescent="0.3">
      <c r="A57" s="116"/>
      <c r="B57" s="116"/>
      <c r="H57" s="109"/>
      <c r="I57" s="107"/>
    </row>
    <row r="58" spans="1:14" x14ac:dyDescent="0.3">
      <c r="A58" s="116"/>
      <c r="B58" s="116"/>
      <c r="H58" s="109"/>
      <c r="I58" s="107"/>
    </row>
    <row r="59" spans="1:14" x14ac:dyDescent="0.3">
      <c r="A59" s="116"/>
      <c r="B59" s="116"/>
      <c r="H59" s="109"/>
      <c r="I59" s="107"/>
    </row>
    <row r="60" spans="1:14" x14ac:dyDescent="0.3">
      <c r="A60" s="116"/>
      <c r="B60" s="116"/>
      <c r="H60" s="109"/>
      <c r="I60" s="107"/>
    </row>
    <row r="61" spans="1:14" ht="28.8" x14ac:dyDescent="0.55000000000000004">
      <c r="A61" s="116"/>
      <c r="B61" s="116"/>
      <c r="E61" s="117"/>
      <c r="F61" s="117"/>
      <c r="G61" s="118"/>
      <c r="H61" s="119"/>
      <c r="I61" s="117"/>
      <c r="J61" s="118"/>
      <c r="N61" s="153" t="s">
        <v>92</v>
      </c>
    </row>
    <row r="62" spans="1:14" x14ac:dyDescent="0.3">
      <c r="A62" s="116"/>
      <c r="B62" s="116"/>
      <c r="H62" s="109"/>
      <c r="I62" s="107"/>
    </row>
    <row r="63" spans="1:14" x14ac:dyDescent="0.3">
      <c r="A63" s="116"/>
      <c r="B63" s="116"/>
      <c r="H63" s="109"/>
      <c r="I63" s="107"/>
    </row>
    <row r="64" spans="1:14" x14ac:dyDescent="0.3">
      <c r="A64" s="116"/>
      <c r="B64" s="116"/>
      <c r="H64" s="109"/>
      <c r="I64" s="107"/>
    </row>
    <row r="65" spans="1:9" x14ac:dyDescent="0.3">
      <c r="A65" s="116"/>
      <c r="B65" s="116"/>
      <c r="H65" s="109"/>
      <c r="I65" s="107"/>
    </row>
    <row r="66" spans="1:9" x14ac:dyDescent="0.3">
      <c r="A66" s="116"/>
      <c r="B66" s="116"/>
      <c r="H66" s="109"/>
      <c r="I66" s="107"/>
    </row>
    <row r="67" spans="1:9" x14ac:dyDescent="0.3">
      <c r="A67" s="116"/>
      <c r="B67" s="116"/>
      <c r="H67" s="109"/>
      <c r="I67" s="107"/>
    </row>
    <row r="68" spans="1:9" x14ac:dyDescent="0.3">
      <c r="A68" s="116"/>
      <c r="B68" s="116"/>
      <c r="H68" s="109"/>
      <c r="I68" s="107"/>
    </row>
    <row r="69" spans="1:9" x14ac:dyDescent="0.3">
      <c r="A69" s="116"/>
      <c r="B69" s="116"/>
      <c r="H69" s="109"/>
      <c r="I69" s="107"/>
    </row>
    <row r="70" spans="1:9" x14ac:dyDescent="0.3">
      <c r="A70" s="116"/>
      <c r="B70" s="116"/>
      <c r="H70" s="109"/>
      <c r="I70" s="107"/>
    </row>
    <row r="71" spans="1:9" x14ac:dyDescent="0.3">
      <c r="A71" s="116"/>
      <c r="B71" s="116"/>
      <c r="H71" s="109"/>
      <c r="I71" s="107"/>
    </row>
    <row r="72" spans="1:9" x14ac:dyDescent="0.3">
      <c r="A72" s="116"/>
      <c r="B72" s="116"/>
      <c r="H72" s="109"/>
      <c r="I72" s="107"/>
    </row>
    <row r="73" spans="1:9" x14ac:dyDescent="0.3">
      <c r="A73" s="116"/>
      <c r="B73" s="116"/>
      <c r="H73" s="109"/>
      <c r="I73" s="107"/>
    </row>
    <row r="74" spans="1:9" x14ac:dyDescent="0.3">
      <c r="A74" s="116"/>
      <c r="B74" s="116"/>
      <c r="H74" s="109"/>
      <c r="I74" s="107"/>
    </row>
    <row r="75" spans="1:9" x14ac:dyDescent="0.3">
      <c r="A75" s="116"/>
      <c r="B75" s="116"/>
      <c r="H75" s="109"/>
      <c r="I75" s="107"/>
    </row>
    <row r="76" spans="1:9" x14ac:dyDescent="0.3">
      <c r="A76" s="116"/>
      <c r="B76" s="116"/>
      <c r="H76" s="109"/>
      <c r="I76" s="107"/>
    </row>
    <row r="77" spans="1:9" x14ac:dyDescent="0.3">
      <c r="A77" s="116"/>
      <c r="B77" s="116"/>
      <c r="H77" s="109"/>
      <c r="I77" s="107"/>
    </row>
    <row r="78" spans="1:9" x14ac:dyDescent="0.3">
      <c r="A78" s="116"/>
      <c r="B78" s="116"/>
      <c r="H78" s="109"/>
      <c r="I78" s="107"/>
    </row>
    <row r="79" spans="1:9" x14ac:dyDescent="0.3">
      <c r="A79" s="116"/>
      <c r="B79" s="116"/>
      <c r="H79" s="109"/>
      <c r="I79" s="107"/>
    </row>
    <row r="80" spans="1:9" x14ac:dyDescent="0.3">
      <c r="A80" s="116"/>
      <c r="B80" s="116"/>
      <c r="H80" s="109"/>
      <c r="I80" s="107"/>
    </row>
    <row r="81" spans="1:9" x14ac:dyDescent="0.3">
      <c r="A81" s="116"/>
      <c r="B81" s="116"/>
      <c r="H81" s="109"/>
      <c r="I81" s="107"/>
    </row>
    <row r="82" spans="1:9" x14ac:dyDescent="0.3">
      <c r="A82" s="116"/>
      <c r="B82" s="116"/>
      <c r="H82" s="109"/>
      <c r="I82" s="107"/>
    </row>
    <row r="83" spans="1:9" x14ac:dyDescent="0.3">
      <c r="A83" s="116"/>
      <c r="B83" s="116"/>
      <c r="H83" s="109"/>
      <c r="I83" s="107"/>
    </row>
    <row r="84" spans="1:9" x14ac:dyDescent="0.3">
      <c r="A84" s="116"/>
      <c r="B84" s="116"/>
      <c r="H84" s="109"/>
      <c r="I84" s="107"/>
    </row>
    <row r="85" spans="1:9" x14ac:dyDescent="0.3">
      <c r="A85" s="116"/>
      <c r="B85" s="116"/>
      <c r="H85" s="109"/>
      <c r="I85" s="107"/>
    </row>
    <row r="86" spans="1:9" x14ac:dyDescent="0.3">
      <c r="A86" s="116"/>
      <c r="B86" s="116"/>
      <c r="H86" s="109"/>
      <c r="I86" s="107"/>
    </row>
    <row r="87" spans="1:9" x14ac:dyDescent="0.3">
      <c r="A87" s="116"/>
      <c r="B87" s="116"/>
      <c r="H87" s="109"/>
      <c r="I87" s="107"/>
    </row>
    <row r="88" spans="1:9" x14ac:dyDescent="0.3">
      <c r="A88" s="116"/>
      <c r="B88" s="116"/>
      <c r="H88" s="109"/>
      <c r="I88" s="107"/>
    </row>
    <row r="89" spans="1:9" x14ac:dyDescent="0.3">
      <c r="A89" s="116"/>
      <c r="B89" s="116"/>
      <c r="H89" s="109"/>
      <c r="I89" s="107"/>
    </row>
    <row r="90" spans="1:9" x14ac:dyDescent="0.3">
      <c r="A90" s="116"/>
      <c r="B90" s="116"/>
      <c r="H90" s="109"/>
      <c r="I90" s="107"/>
    </row>
    <row r="91" spans="1:9" x14ac:dyDescent="0.3">
      <c r="A91" s="116"/>
      <c r="B91" s="116"/>
      <c r="H91" s="109"/>
      <c r="I91" s="107"/>
    </row>
    <row r="92" spans="1:9" x14ac:dyDescent="0.3">
      <c r="A92" s="116"/>
      <c r="B92" s="116"/>
      <c r="H92" s="109"/>
      <c r="I92" s="107"/>
    </row>
    <row r="93" spans="1:9" x14ac:dyDescent="0.3">
      <c r="A93" s="116"/>
      <c r="B93" s="116"/>
      <c r="H93" s="109"/>
      <c r="I93" s="107"/>
    </row>
    <row r="94" spans="1:9" x14ac:dyDescent="0.3">
      <c r="A94" s="116"/>
      <c r="B94" s="116"/>
      <c r="H94" s="109"/>
      <c r="I94" s="107"/>
    </row>
    <row r="95" spans="1:9" x14ac:dyDescent="0.3">
      <c r="A95" s="116"/>
      <c r="B95" s="116"/>
      <c r="H95" s="109"/>
      <c r="I95" s="107"/>
    </row>
    <row r="96" spans="1:9" x14ac:dyDescent="0.3">
      <c r="A96" s="116"/>
      <c r="B96" s="116"/>
      <c r="H96" s="109"/>
      <c r="I96" s="107"/>
    </row>
    <row r="97" spans="1:10" x14ac:dyDescent="0.3">
      <c r="A97" s="116"/>
      <c r="B97" s="116"/>
      <c r="H97" s="109"/>
      <c r="I97" s="107"/>
    </row>
    <row r="98" spans="1:10" x14ac:dyDescent="0.3">
      <c r="A98" s="116"/>
      <c r="B98" s="116"/>
      <c r="H98" s="109"/>
      <c r="I98" s="107"/>
    </row>
    <row r="99" spans="1:10" x14ac:dyDescent="0.3">
      <c r="A99" s="116"/>
      <c r="B99" s="116"/>
      <c r="H99" s="109"/>
      <c r="I99" s="107"/>
    </row>
    <row r="100" spans="1:10" x14ac:dyDescent="0.3">
      <c r="A100" s="116"/>
      <c r="B100" s="116"/>
      <c r="H100" s="109"/>
      <c r="I100" s="107"/>
    </row>
    <row r="101" spans="1:10" x14ac:dyDescent="0.3">
      <c r="A101" s="116"/>
      <c r="B101" s="116"/>
      <c r="H101" s="109"/>
      <c r="I101" s="107"/>
    </row>
    <row r="102" spans="1:10" x14ac:dyDescent="0.3">
      <c r="A102" s="116"/>
      <c r="B102" s="116"/>
      <c r="H102" s="109"/>
      <c r="I102" s="107"/>
    </row>
    <row r="103" spans="1:10" x14ac:dyDescent="0.3">
      <c r="A103" s="116"/>
      <c r="B103" s="116"/>
      <c r="H103" s="109"/>
      <c r="I103" s="107"/>
    </row>
    <row r="104" spans="1:10" x14ac:dyDescent="0.3">
      <c r="A104" s="116"/>
      <c r="B104" s="116"/>
      <c r="H104" s="109"/>
      <c r="I104" s="107"/>
    </row>
    <row r="105" spans="1:10" x14ac:dyDescent="0.3">
      <c r="A105" s="116"/>
      <c r="B105" s="116"/>
      <c r="H105" s="109"/>
      <c r="I105" s="107"/>
    </row>
    <row r="106" spans="1:10" x14ac:dyDescent="0.3">
      <c r="A106" s="116"/>
      <c r="B106" s="116"/>
      <c r="H106" s="109"/>
      <c r="I106" s="107"/>
    </row>
    <row r="107" spans="1:10" x14ac:dyDescent="0.3">
      <c r="A107" s="116"/>
      <c r="B107" s="116"/>
      <c r="H107" s="109"/>
      <c r="I107" s="107"/>
    </row>
    <row r="108" spans="1:10" x14ac:dyDescent="0.3">
      <c r="G108" s="120"/>
      <c r="H108" s="109"/>
      <c r="I108" s="107"/>
      <c r="J108" s="121"/>
    </row>
    <row r="109" spans="1:10" x14ac:dyDescent="0.3">
      <c r="H109" s="109"/>
      <c r="I109" s="107"/>
    </row>
    <row r="110" spans="1:10" x14ac:dyDescent="0.3">
      <c r="H110" s="109"/>
      <c r="I110" s="107"/>
    </row>
    <row r="111" spans="1:10" x14ac:dyDescent="0.3">
      <c r="H111" s="109"/>
      <c r="I111" s="107"/>
    </row>
    <row r="112" spans="1:10" x14ac:dyDescent="0.3">
      <c r="H112" s="109"/>
      <c r="I112" s="107"/>
    </row>
    <row r="113" spans="8:12" x14ac:dyDescent="0.3">
      <c r="H113" s="109"/>
      <c r="I113" s="107"/>
    </row>
    <row r="114" spans="8:12" x14ac:dyDescent="0.3">
      <c r="H114" s="109"/>
      <c r="I114" s="107"/>
    </row>
    <row r="115" spans="8:12" x14ac:dyDescent="0.3">
      <c r="H115" s="109"/>
      <c r="I115" s="107"/>
    </row>
    <row r="116" spans="8:12" x14ac:dyDescent="0.3">
      <c r="H116" s="109"/>
      <c r="I116" s="107"/>
    </row>
    <row r="117" spans="8:12" x14ac:dyDescent="0.3">
      <c r="H117" s="109"/>
      <c r="I117" s="107"/>
    </row>
    <row r="118" spans="8:12" x14ac:dyDescent="0.3">
      <c r="H118" s="109"/>
      <c r="I118" s="107"/>
    </row>
    <row r="119" spans="8:12" x14ac:dyDescent="0.3">
      <c r="H119" s="109"/>
      <c r="I119" s="107"/>
    </row>
    <row r="120" spans="8:12" x14ac:dyDescent="0.3">
      <c r="H120" s="109"/>
      <c r="I120" s="107"/>
    </row>
    <row r="121" spans="8:12" x14ac:dyDescent="0.3">
      <c r="H121" s="109"/>
      <c r="I121" s="107"/>
      <c r="L121" s="154"/>
    </row>
    <row r="122" spans="8:12" x14ac:dyDescent="0.3">
      <c r="H122" s="109"/>
      <c r="I122" s="107"/>
    </row>
    <row r="123" spans="8:12" x14ac:dyDescent="0.3">
      <c r="H123" s="109"/>
      <c r="I123" s="107"/>
    </row>
    <row r="124" spans="8:12" x14ac:dyDescent="0.3">
      <c r="H124" s="109"/>
      <c r="I124" s="107"/>
    </row>
    <row r="125" spans="8:12" x14ac:dyDescent="0.3">
      <c r="H125" s="109"/>
      <c r="I125" s="107"/>
    </row>
    <row r="126" spans="8:12" x14ac:dyDescent="0.3">
      <c r="H126" s="109"/>
      <c r="I126" s="107"/>
    </row>
    <row r="127" spans="8:12" x14ac:dyDescent="0.3">
      <c r="H127" s="109"/>
      <c r="I127" s="107"/>
    </row>
    <row r="128" spans="8:12" x14ac:dyDescent="0.3">
      <c r="H128" s="109"/>
      <c r="I128" s="107"/>
    </row>
    <row r="129" spans="8:9" x14ac:dyDescent="0.3">
      <c r="H129" s="109"/>
      <c r="I129" s="107"/>
    </row>
    <row r="130" spans="8:9" x14ac:dyDescent="0.3">
      <c r="H130" s="109"/>
      <c r="I130" s="107"/>
    </row>
    <row r="131" spans="8:9" x14ac:dyDescent="0.3">
      <c r="H131" s="109"/>
      <c r="I131" s="107"/>
    </row>
    <row r="132" spans="8:9" x14ac:dyDescent="0.3">
      <c r="H132" s="109"/>
      <c r="I132" s="107"/>
    </row>
    <row r="133" spans="8:9" x14ac:dyDescent="0.3">
      <c r="H133" s="109"/>
      <c r="I133" s="107"/>
    </row>
    <row r="134" spans="8:9" x14ac:dyDescent="0.3">
      <c r="H134" s="109"/>
      <c r="I134" s="107"/>
    </row>
    <row r="135" spans="8:9" x14ac:dyDescent="0.3">
      <c r="H135" s="109"/>
      <c r="I135" s="107"/>
    </row>
    <row r="136" spans="8:9" x14ac:dyDescent="0.3">
      <c r="H136" s="109"/>
      <c r="I136" s="107"/>
    </row>
    <row r="137" spans="8:9" x14ac:dyDescent="0.3">
      <c r="H137" s="109"/>
      <c r="I137" s="107"/>
    </row>
    <row r="138" spans="8:9" x14ac:dyDescent="0.3">
      <c r="H138" s="109"/>
      <c r="I138" s="107"/>
    </row>
    <row r="139" spans="8:9" x14ac:dyDescent="0.3">
      <c r="H139" s="109"/>
      <c r="I139" s="107"/>
    </row>
    <row r="140" spans="8:9" x14ac:dyDescent="0.3">
      <c r="H140" s="109"/>
      <c r="I140" s="107"/>
    </row>
    <row r="141" spans="8:9" x14ac:dyDescent="0.3">
      <c r="H141" s="109"/>
      <c r="I141" s="107"/>
    </row>
    <row r="142" spans="8:9" x14ac:dyDescent="0.3">
      <c r="H142" s="109"/>
      <c r="I142" s="107"/>
    </row>
    <row r="143" spans="8:9" x14ac:dyDescent="0.3">
      <c r="H143" s="109"/>
      <c r="I143" s="107"/>
    </row>
    <row r="144" spans="8:9" x14ac:dyDescent="0.3">
      <c r="H144" s="109"/>
      <c r="I144" s="107"/>
    </row>
    <row r="145" spans="8:9" x14ac:dyDescent="0.3">
      <c r="H145" s="109"/>
      <c r="I145" s="107"/>
    </row>
    <row r="146" spans="8:9" x14ac:dyDescent="0.3">
      <c r="H146" s="109"/>
      <c r="I146" s="107"/>
    </row>
    <row r="147" spans="8:9" x14ac:dyDescent="0.3">
      <c r="H147" s="109"/>
      <c r="I147" s="107"/>
    </row>
    <row r="148" spans="8:9" x14ac:dyDescent="0.3">
      <c r="H148" s="109"/>
      <c r="I148" s="107"/>
    </row>
    <row r="149" spans="8:9" x14ac:dyDescent="0.3">
      <c r="H149" s="109"/>
      <c r="I149" s="107"/>
    </row>
    <row r="150" spans="8:9" x14ac:dyDescent="0.3">
      <c r="H150" s="109"/>
      <c r="I150" s="107"/>
    </row>
    <row r="151" spans="8:9" x14ac:dyDescent="0.3">
      <c r="H151" s="109"/>
      <c r="I151" s="107"/>
    </row>
    <row r="152" spans="8:9" x14ac:dyDescent="0.3">
      <c r="H152" s="109"/>
      <c r="I152" s="107"/>
    </row>
    <row r="153" spans="8:9" x14ac:dyDescent="0.3">
      <c r="H153" s="109"/>
      <c r="I153" s="107"/>
    </row>
    <row r="154" spans="8:9" x14ac:dyDescent="0.3">
      <c r="H154" s="109"/>
      <c r="I154" s="107"/>
    </row>
    <row r="155" spans="8:9" x14ac:dyDescent="0.3">
      <c r="H155" s="109"/>
      <c r="I155" s="107"/>
    </row>
    <row r="156" spans="8:9" x14ac:dyDescent="0.3">
      <c r="H156" s="109"/>
      <c r="I156" s="107"/>
    </row>
    <row r="157" spans="8:9" x14ac:dyDescent="0.3">
      <c r="H157" s="109"/>
      <c r="I157" s="107"/>
    </row>
    <row r="158" spans="8:9" x14ac:dyDescent="0.3">
      <c r="H158" s="109"/>
      <c r="I158" s="107"/>
    </row>
    <row r="159" spans="8:9" x14ac:dyDescent="0.3">
      <c r="H159" s="109"/>
      <c r="I159" s="107"/>
    </row>
    <row r="160" spans="8:9" x14ac:dyDescent="0.3">
      <c r="H160" s="109"/>
      <c r="I160" s="107"/>
    </row>
    <row r="161" spans="8:9" x14ac:dyDescent="0.3">
      <c r="H161" s="109"/>
      <c r="I161" s="107"/>
    </row>
    <row r="162" spans="8:9" x14ac:dyDescent="0.3">
      <c r="H162" s="109"/>
      <c r="I162" s="107"/>
    </row>
    <row r="163" spans="8:9" x14ac:dyDescent="0.3">
      <c r="H163" s="109"/>
      <c r="I163" s="107"/>
    </row>
    <row r="164" spans="8:9" x14ac:dyDescent="0.3">
      <c r="H164" s="109"/>
      <c r="I164" s="107"/>
    </row>
    <row r="165" spans="8:9" x14ac:dyDescent="0.3">
      <c r="H165" s="109"/>
      <c r="I165" s="107"/>
    </row>
    <row r="166" spans="8:9" x14ac:dyDescent="0.3">
      <c r="H166" s="109"/>
      <c r="I166" s="107"/>
    </row>
    <row r="167" spans="8:9" x14ac:dyDescent="0.3">
      <c r="H167" s="109"/>
      <c r="I167" s="107"/>
    </row>
    <row r="168" spans="8:9" x14ac:dyDescent="0.3">
      <c r="H168" s="109"/>
      <c r="I168" s="107"/>
    </row>
    <row r="169" spans="8:9" x14ac:dyDescent="0.3">
      <c r="H169" s="109"/>
      <c r="I169" s="107"/>
    </row>
    <row r="170" spans="8:9" x14ac:dyDescent="0.3">
      <c r="H170" s="109"/>
      <c r="I170" s="107"/>
    </row>
    <row r="171" spans="8:9" x14ac:dyDescent="0.3">
      <c r="H171" s="109"/>
      <c r="I171" s="107"/>
    </row>
    <row r="172" spans="8:9" x14ac:dyDescent="0.3">
      <c r="H172" s="109"/>
      <c r="I172" s="107"/>
    </row>
    <row r="173" spans="8:9" x14ac:dyDescent="0.3">
      <c r="H173" s="109"/>
      <c r="I173" s="107"/>
    </row>
    <row r="174" spans="8:9" x14ac:dyDescent="0.3">
      <c r="H174" s="109"/>
      <c r="I174" s="107"/>
    </row>
    <row r="175" spans="8:9" x14ac:dyDescent="0.3">
      <c r="H175" s="109"/>
      <c r="I175" s="107"/>
    </row>
    <row r="176" spans="8:9" x14ac:dyDescent="0.3">
      <c r="H176" s="109"/>
      <c r="I176" s="107"/>
    </row>
    <row r="177" spans="8:9" x14ac:dyDescent="0.3">
      <c r="H177" s="109"/>
      <c r="I177" s="107"/>
    </row>
    <row r="178" spans="8:9" x14ac:dyDescent="0.3">
      <c r="H178" s="109"/>
      <c r="I178" s="107"/>
    </row>
    <row r="179" spans="8:9" x14ac:dyDescent="0.3">
      <c r="H179" s="109"/>
      <c r="I179" s="107"/>
    </row>
    <row r="180" spans="8:9" x14ac:dyDescent="0.3">
      <c r="H180" s="109"/>
      <c r="I180" s="107"/>
    </row>
    <row r="181" spans="8:9" x14ac:dyDescent="0.3">
      <c r="H181" s="109"/>
      <c r="I181" s="107"/>
    </row>
    <row r="182" spans="8:9" x14ac:dyDescent="0.3">
      <c r="H182" s="109"/>
      <c r="I182" s="107"/>
    </row>
    <row r="183" spans="8:9" x14ac:dyDescent="0.3">
      <c r="H183" s="109"/>
      <c r="I183" s="107"/>
    </row>
    <row r="184" spans="8:9" x14ac:dyDescent="0.3">
      <c r="H184" s="109"/>
      <c r="I184" s="107"/>
    </row>
    <row r="185" spans="8:9" x14ac:dyDescent="0.3">
      <c r="H185" s="109"/>
      <c r="I185" s="107"/>
    </row>
    <row r="186" spans="8:9" x14ac:dyDescent="0.3">
      <c r="H186" s="109"/>
      <c r="I186" s="107"/>
    </row>
    <row r="187" spans="8:9" x14ac:dyDescent="0.3">
      <c r="H187" s="109"/>
      <c r="I187" s="107"/>
    </row>
    <row r="188" spans="8:9" x14ac:dyDescent="0.3">
      <c r="H188" s="109"/>
      <c r="I188" s="107"/>
    </row>
    <row r="189" spans="8:9" x14ac:dyDescent="0.3">
      <c r="H189" s="109"/>
      <c r="I189" s="107"/>
    </row>
    <row r="190" spans="8:9" x14ac:dyDescent="0.3">
      <c r="H190" s="109"/>
      <c r="I190" s="107"/>
    </row>
    <row r="191" spans="8:9" x14ac:dyDescent="0.3">
      <c r="H191" s="109"/>
      <c r="I191" s="107"/>
    </row>
    <row r="192" spans="8:9" x14ac:dyDescent="0.3">
      <c r="H192" s="109"/>
      <c r="I192" s="107"/>
    </row>
    <row r="193" spans="8:9" x14ac:dyDescent="0.3">
      <c r="H193" s="109"/>
      <c r="I193" s="107"/>
    </row>
    <row r="194" spans="8:9" x14ac:dyDescent="0.3">
      <c r="H194" s="109"/>
      <c r="I194" s="107"/>
    </row>
    <row r="195" spans="8:9" x14ac:dyDescent="0.3">
      <c r="H195" s="109"/>
      <c r="I195" s="107"/>
    </row>
    <row r="196" spans="8:9" x14ac:dyDescent="0.3">
      <c r="H196" s="109"/>
      <c r="I196" s="107"/>
    </row>
    <row r="197" spans="8:9" x14ac:dyDescent="0.3">
      <c r="H197" s="109"/>
      <c r="I197" s="107"/>
    </row>
    <row r="198" spans="8:9" x14ac:dyDescent="0.3">
      <c r="H198" s="109"/>
      <c r="I198" s="107"/>
    </row>
    <row r="199" spans="8:9" x14ac:dyDescent="0.3">
      <c r="H199" s="109"/>
      <c r="I199" s="107"/>
    </row>
    <row r="200" spans="8:9" x14ac:dyDescent="0.3">
      <c r="H200" s="109"/>
      <c r="I200" s="107"/>
    </row>
    <row r="201" spans="8:9" x14ac:dyDescent="0.3">
      <c r="H201" s="109"/>
      <c r="I201" s="107"/>
    </row>
    <row r="202" spans="8:9" x14ac:dyDescent="0.3">
      <c r="H202" s="109"/>
      <c r="I202" s="107"/>
    </row>
    <row r="203" spans="8:9" x14ac:dyDescent="0.3">
      <c r="H203" s="109"/>
      <c r="I203" s="107"/>
    </row>
    <row r="204" spans="8:9" x14ac:dyDescent="0.3">
      <c r="H204" s="109"/>
      <c r="I204" s="107"/>
    </row>
    <row r="205" spans="8:9" x14ac:dyDescent="0.3">
      <c r="H205" s="109"/>
      <c r="I205" s="107"/>
    </row>
    <row r="206" spans="8:9" x14ac:dyDescent="0.3">
      <c r="H206" s="109"/>
      <c r="I206" s="107"/>
    </row>
    <row r="207" spans="8:9" x14ac:dyDescent="0.3">
      <c r="H207" s="109"/>
      <c r="I207" s="107"/>
    </row>
    <row r="208" spans="8:9" x14ac:dyDescent="0.3">
      <c r="H208" s="109"/>
      <c r="I208" s="107"/>
    </row>
    <row r="209" spans="8:9" x14ac:dyDescent="0.3">
      <c r="H209" s="109"/>
      <c r="I209" s="107"/>
    </row>
    <row r="210" spans="8:9" x14ac:dyDescent="0.3">
      <c r="H210" s="109"/>
      <c r="I210" s="107"/>
    </row>
    <row r="211" spans="8:9" x14ac:dyDescent="0.3">
      <c r="H211" s="109"/>
      <c r="I211" s="107"/>
    </row>
    <row r="212" spans="8:9" x14ac:dyDescent="0.3">
      <c r="H212" s="109"/>
      <c r="I212" s="107"/>
    </row>
    <row r="213" spans="8:9" x14ac:dyDescent="0.3">
      <c r="H213" s="109"/>
      <c r="I213" s="107"/>
    </row>
    <row r="214" spans="8:9" x14ac:dyDescent="0.3">
      <c r="H214" s="109"/>
      <c r="I214" s="107"/>
    </row>
    <row r="215" spans="8:9" x14ac:dyDescent="0.3">
      <c r="H215" s="109"/>
      <c r="I215" s="107"/>
    </row>
    <row r="216" spans="8:9" x14ac:dyDescent="0.3">
      <c r="H216" s="109"/>
      <c r="I216" s="107"/>
    </row>
    <row r="217" spans="8:9" x14ac:dyDescent="0.3">
      <c r="H217" s="109"/>
      <c r="I217" s="107"/>
    </row>
    <row r="218" spans="8:9" x14ac:dyDescent="0.3">
      <c r="H218" s="109"/>
      <c r="I218" s="107"/>
    </row>
    <row r="219" spans="8:9" x14ac:dyDescent="0.3">
      <c r="H219" s="109"/>
      <c r="I219" s="107"/>
    </row>
    <row r="220" spans="8:9" x14ac:dyDescent="0.3">
      <c r="H220" s="109"/>
      <c r="I220" s="107"/>
    </row>
    <row r="221" spans="8:9" x14ac:dyDescent="0.3">
      <c r="H221" s="109"/>
      <c r="I221" s="107"/>
    </row>
    <row r="222" spans="8:9" x14ac:dyDescent="0.3">
      <c r="H222" s="109"/>
      <c r="I222" s="107"/>
    </row>
    <row r="223" spans="8:9" x14ac:dyDescent="0.3">
      <c r="H223" s="109"/>
      <c r="I223" s="107"/>
    </row>
    <row r="224" spans="8:9" x14ac:dyDescent="0.3">
      <c r="H224" s="109"/>
      <c r="I224" s="107"/>
    </row>
    <row r="225" spans="8:9" x14ac:dyDescent="0.3">
      <c r="H225" s="109"/>
      <c r="I225" s="107"/>
    </row>
    <row r="226" spans="8:9" x14ac:dyDescent="0.3">
      <c r="H226" s="109"/>
      <c r="I226" s="107"/>
    </row>
    <row r="227" spans="8:9" x14ac:dyDescent="0.3">
      <c r="H227" s="109"/>
      <c r="I227" s="107"/>
    </row>
    <row r="228" spans="8:9" x14ac:dyDescent="0.3">
      <c r="H228" s="109"/>
      <c r="I228" s="107"/>
    </row>
    <row r="229" spans="8:9" x14ac:dyDescent="0.3">
      <c r="H229" s="109"/>
      <c r="I229" s="107"/>
    </row>
    <row r="230" spans="8:9" x14ac:dyDescent="0.3">
      <c r="H230" s="109"/>
      <c r="I230" s="107"/>
    </row>
    <row r="231" spans="8:9" x14ac:dyDescent="0.3">
      <c r="H231" s="109"/>
      <c r="I231" s="107"/>
    </row>
    <row r="232" spans="8:9" x14ac:dyDescent="0.3">
      <c r="H232" s="109"/>
      <c r="I232" s="107"/>
    </row>
    <row r="233" spans="8:9" x14ac:dyDescent="0.3">
      <c r="H233" s="109"/>
      <c r="I233" s="107"/>
    </row>
    <row r="234" spans="8:9" x14ac:dyDescent="0.3">
      <c r="H234" s="109"/>
      <c r="I234" s="107"/>
    </row>
    <row r="235" spans="8:9" x14ac:dyDescent="0.3">
      <c r="H235" s="109"/>
      <c r="I235" s="107"/>
    </row>
    <row r="236" spans="8:9" x14ac:dyDescent="0.3">
      <c r="H236" s="109"/>
      <c r="I236" s="107"/>
    </row>
    <row r="237" spans="8:9" x14ac:dyDescent="0.3">
      <c r="H237" s="109"/>
      <c r="I237" s="107"/>
    </row>
    <row r="238" spans="8:9" x14ac:dyDescent="0.3">
      <c r="H238" s="109"/>
      <c r="I238" s="107"/>
    </row>
    <row r="239" spans="8:9" x14ac:dyDescent="0.3">
      <c r="H239" s="109"/>
      <c r="I239" s="107"/>
    </row>
    <row r="240" spans="8:9" x14ac:dyDescent="0.3">
      <c r="H240" s="109"/>
      <c r="I240" s="107"/>
    </row>
    <row r="241" spans="8:9" x14ac:dyDescent="0.3">
      <c r="H241" s="109"/>
      <c r="I241" s="107"/>
    </row>
    <row r="242" spans="8:9" x14ac:dyDescent="0.3">
      <c r="H242" s="109"/>
      <c r="I242" s="107"/>
    </row>
    <row r="243" spans="8:9" x14ac:dyDescent="0.3">
      <c r="H243" s="109"/>
      <c r="I243" s="107"/>
    </row>
    <row r="244" spans="8:9" x14ac:dyDescent="0.3">
      <c r="H244" s="109"/>
      <c r="I244" s="107"/>
    </row>
    <row r="245" spans="8:9" x14ac:dyDescent="0.3">
      <c r="H245" s="109"/>
      <c r="I245" s="107"/>
    </row>
    <row r="246" spans="8:9" x14ac:dyDescent="0.3">
      <c r="H246" s="109"/>
      <c r="I246" s="107"/>
    </row>
    <row r="247" spans="8:9" x14ac:dyDescent="0.3">
      <c r="H247" s="109"/>
      <c r="I247" s="107"/>
    </row>
    <row r="248" spans="8:9" x14ac:dyDescent="0.3">
      <c r="H248" s="109"/>
      <c r="I248" s="107"/>
    </row>
    <row r="249" spans="8:9" x14ac:dyDescent="0.3">
      <c r="H249" s="109"/>
      <c r="I249" s="107"/>
    </row>
    <row r="250" spans="8:9" x14ac:dyDescent="0.3">
      <c r="H250" s="109"/>
      <c r="I250" s="107"/>
    </row>
    <row r="251" spans="8:9" x14ac:dyDescent="0.3">
      <c r="H251" s="109"/>
      <c r="I251" s="107"/>
    </row>
    <row r="252" spans="8:9" x14ac:dyDescent="0.3">
      <c r="H252" s="109"/>
      <c r="I252" s="107"/>
    </row>
    <row r="253" spans="8:9" x14ac:dyDescent="0.3">
      <c r="H253" s="109"/>
      <c r="I253" s="107"/>
    </row>
    <row r="254" spans="8:9" x14ac:dyDescent="0.3">
      <c r="H254" s="109"/>
      <c r="I254" s="107"/>
    </row>
    <row r="255" spans="8:9" x14ac:dyDescent="0.3">
      <c r="H255" s="109"/>
      <c r="I255" s="107"/>
    </row>
    <row r="256" spans="8:9" x14ac:dyDescent="0.3">
      <c r="H256" s="109"/>
      <c r="I256" s="107"/>
    </row>
    <row r="257" spans="8:9" x14ac:dyDescent="0.3">
      <c r="H257" s="109"/>
      <c r="I257" s="107"/>
    </row>
    <row r="258" spans="8:9" x14ac:dyDescent="0.3">
      <c r="H258" s="109"/>
      <c r="I258" s="107"/>
    </row>
    <row r="259" spans="8:9" x14ac:dyDescent="0.3">
      <c r="H259" s="109"/>
      <c r="I259" s="107"/>
    </row>
    <row r="260" spans="8:9" x14ac:dyDescent="0.3">
      <c r="H260" s="109"/>
      <c r="I260" s="107"/>
    </row>
    <row r="261" spans="8:9" x14ac:dyDescent="0.3">
      <c r="H261" s="109"/>
      <c r="I261" s="107"/>
    </row>
    <row r="262" spans="8:9" x14ac:dyDescent="0.3">
      <c r="H262" s="109"/>
      <c r="I262" s="107"/>
    </row>
    <row r="263" spans="8:9" x14ac:dyDescent="0.3">
      <c r="H263" s="109"/>
      <c r="I263" s="107"/>
    </row>
    <row r="264" spans="8:9" x14ac:dyDescent="0.3">
      <c r="H264" s="109"/>
      <c r="I264" s="107"/>
    </row>
    <row r="265" spans="8:9" x14ac:dyDescent="0.3">
      <c r="H265" s="109"/>
      <c r="I265" s="107"/>
    </row>
    <row r="266" spans="8:9" x14ac:dyDescent="0.3">
      <c r="H266" s="109"/>
      <c r="I266" s="107"/>
    </row>
    <row r="267" spans="8:9" x14ac:dyDescent="0.3">
      <c r="H267" s="109"/>
      <c r="I267" s="107"/>
    </row>
    <row r="268" spans="8:9" x14ac:dyDescent="0.3">
      <c r="H268" s="109"/>
      <c r="I268" s="107"/>
    </row>
    <row r="269" spans="8:9" x14ac:dyDescent="0.3">
      <c r="H269" s="109"/>
      <c r="I269" s="107"/>
    </row>
    <row r="270" spans="8:9" x14ac:dyDescent="0.3">
      <c r="H270" s="109"/>
      <c r="I270" s="107"/>
    </row>
    <row r="271" spans="8:9" x14ac:dyDescent="0.3">
      <c r="H271" s="109"/>
      <c r="I271" s="107"/>
    </row>
    <row r="272" spans="8:9" x14ac:dyDescent="0.3">
      <c r="H272" s="109"/>
      <c r="I272" s="107"/>
    </row>
    <row r="273" spans="8:9" x14ac:dyDescent="0.3">
      <c r="H273" s="109"/>
      <c r="I273" s="107"/>
    </row>
    <row r="274" spans="8:9" x14ac:dyDescent="0.3">
      <c r="H274" s="109"/>
      <c r="I274" s="107"/>
    </row>
    <row r="275" spans="8:9" x14ac:dyDescent="0.3">
      <c r="H275" s="109"/>
      <c r="I275" s="107"/>
    </row>
    <row r="276" spans="8:9" x14ac:dyDescent="0.3">
      <c r="H276" s="109"/>
      <c r="I276" s="107"/>
    </row>
    <row r="277" spans="8:9" x14ac:dyDescent="0.3">
      <c r="H277" s="109"/>
      <c r="I277" s="107"/>
    </row>
    <row r="278" spans="8:9" x14ac:dyDescent="0.3">
      <c r="H278" s="109"/>
      <c r="I278" s="107"/>
    </row>
    <row r="279" spans="8:9" x14ac:dyDescent="0.3">
      <c r="H279" s="109"/>
      <c r="I279" s="107"/>
    </row>
    <row r="280" spans="8:9" x14ac:dyDescent="0.3">
      <c r="H280" s="109"/>
      <c r="I280" s="107"/>
    </row>
    <row r="281" spans="8:9" x14ac:dyDescent="0.3">
      <c r="H281" s="109"/>
      <c r="I281" s="107"/>
    </row>
    <row r="282" spans="8:9" x14ac:dyDescent="0.3">
      <c r="H282" s="109"/>
      <c r="I282" s="107"/>
    </row>
    <row r="283" spans="8:9" x14ac:dyDescent="0.3">
      <c r="H283" s="109"/>
      <c r="I283" s="107"/>
    </row>
    <row r="284" spans="8:9" x14ac:dyDescent="0.3">
      <c r="H284" s="109"/>
      <c r="I284" s="107"/>
    </row>
    <row r="285" spans="8:9" x14ac:dyDescent="0.3">
      <c r="H285" s="109"/>
      <c r="I285" s="107"/>
    </row>
    <row r="286" spans="8:9" x14ac:dyDescent="0.3">
      <c r="H286" s="109"/>
      <c r="I286" s="107"/>
    </row>
    <row r="287" spans="8:9" x14ac:dyDescent="0.3">
      <c r="H287" s="109"/>
      <c r="I287" s="107"/>
    </row>
    <row r="288" spans="8:9" x14ac:dyDescent="0.3">
      <c r="H288" s="109"/>
      <c r="I288" s="107"/>
    </row>
    <row r="289" spans="8:9" x14ac:dyDescent="0.3">
      <c r="H289" s="109"/>
      <c r="I289" s="107"/>
    </row>
    <row r="290" spans="8:9" x14ac:dyDescent="0.3">
      <c r="H290" s="109"/>
      <c r="I290" s="107"/>
    </row>
    <row r="291" spans="8:9" x14ac:dyDescent="0.3">
      <c r="H291" s="109"/>
      <c r="I291" s="107"/>
    </row>
    <row r="292" spans="8:9" x14ac:dyDescent="0.3">
      <c r="H292" s="109"/>
      <c r="I292" s="107"/>
    </row>
    <row r="293" spans="8:9" x14ac:dyDescent="0.3">
      <c r="H293" s="109"/>
      <c r="I293" s="107"/>
    </row>
    <row r="294" spans="8:9" x14ac:dyDescent="0.3">
      <c r="H294" s="109"/>
      <c r="I294" s="107"/>
    </row>
    <row r="295" spans="8:9" x14ac:dyDescent="0.3">
      <c r="H295" s="109"/>
      <c r="I295" s="107"/>
    </row>
    <row r="296" spans="8:9" x14ac:dyDescent="0.3">
      <c r="H296" s="109"/>
      <c r="I296" s="107"/>
    </row>
    <row r="297" spans="8:9" x14ac:dyDescent="0.3">
      <c r="H297" s="109"/>
      <c r="I297" s="107"/>
    </row>
    <row r="298" spans="8:9" x14ac:dyDescent="0.3">
      <c r="H298" s="109"/>
      <c r="I298" s="107"/>
    </row>
    <row r="299" spans="8:9" x14ac:dyDescent="0.3">
      <c r="H299" s="109"/>
      <c r="I299" s="107"/>
    </row>
    <row r="300" spans="8:9" x14ac:dyDescent="0.3">
      <c r="H300" s="109"/>
      <c r="I300" s="107"/>
    </row>
    <row r="301" spans="8:9" x14ac:dyDescent="0.3">
      <c r="H301" s="109"/>
      <c r="I301" s="107"/>
    </row>
    <row r="302" spans="8:9" x14ac:dyDescent="0.3">
      <c r="H302" s="109"/>
      <c r="I302" s="107"/>
    </row>
    <row r="303" spans="8:9" x14ac:dyDescent="0.3">
      <c r="H303" s="109"/>
      <c r="I303" s="107"/>
    </row>
    <row r="304" spans="8:9" x14ac:dyDescent="0.3">
      <c r="H304" s="109"/>
      <c r="I304" s="107"/>
    </row>
    <row r="305" spans="8:9" x14ac:dyDescent="0.3">
      <c r="H305" s="109"/>
      <c r="I305" s="107"/>
    </row>
    <row r="306" spans="8:9" x14ac:dyDescent="0.3">
      <c r="H306" s="109"/>
      <c r="I306" s="107"/>
    </row>
    <row r="307" spans="8:9" x14ac:dyDescent="0.3">
      <c r="H307" s="109"/>
      <c r="I307" s="107"/>
    </row>
    <row r="308" spans="8:9" x14ac:dyDescent="0.3">
      <c r="H308" s="109"/>
      <c r="I308" s="107"/>
    </row>
    <row r="309" spans="8:9" x14ac:dyDescent="0.3">
      <c r="H309" s="109"/>
      <c r="I309" s="107"/>
    </row>
    <row r="310" spans="8:9" x14ac:dyDescent="0.3">
      <c r="H310" s="109"/>
      <c r="I310" s="107"/>
    </row>
    <row r="311" spans="8:9" x14ac:dyDescent="0.3">
      <c r="H311" s="109"/>
      <c r="I311" s="107"/>
    </row>
    <row r="312" spans="8:9" x14ac:dyDescent="0.3">
      <c r="H312" s="109"/>
      <c r="I312" s="107"/>
    </row>
    <row r="313" spans="8:9" x14ac:dyDescent="0.3">
      <c r="H313" s="109"/>
      <c r="I313" s="107"/>
    </row>
    <row r="314" spans="8:9" x14ac:dyDescent="0.3">
      <c r="H314" s="109"/>
      <c r="I314" s="107"/>
    </row>
    <row r="315" spans="8:9" x14ac:dyDescent="0.3">
      <c r="H315" s="109"/>
      <c r="I315" s="107"/>
    </row>
    <row r="316" spans="8:9" x14ac:dyDescent="0.3">
      <c r="H316" s="109"/>
      <c r="I316" s="107"/>
    </row>
    <row r="317" spans="8:9" x14ac:dyDescent="0.3">
      <c r="H317" s="109"/>
      <c r="I317" s="107"/>
    </row>
    <row r="318" spans="8:9" x14ac:dyDescent="0.3">
      <c r="H318" s="109"/>
      <c r="I318" s="107"/>
    </row>
    <row r="319" spans="8:9" x14ac:dyDescent="0.3">
      <c r="H319" s="109"/>
      <c r="I319" s="107"/>
    </row>
    <row r="320" spans="8:9" x14ac:dyDescent="0.3">
      <c r="H320" s="109"/>
      <c r="I320" s="107"/>
    </row>
    <row r="321" spans="8:9" x14ac:dyDescent="0.3">
      <c r="H321" s="109"/>
      <c r="I321" s="107"/>
    </row>
    <row r="322" spans="8:9" x14ac:dyDescent="0.3">
      <c r="H322" s="109"/>
      <c r="I322" s="107"/>
    </row>
    <row r="323" spans="8:9" x14ac:dyDescent="0.3">
      <c r="H323" s="109"/>
      <c r="I323" s="107"/>
    </row>
    <row r="324" spans="8:9" x14ac:dyDescent="0.3">
      <c r="H324" s="109"/>
      <c r="I324" s="107"/>
    </row>
    <row r="325" spans="8:9" x14ac:dyDescent="0.3">
      <c r="H325" s="109"/>
      <c r="I325" s="107"/>
    </row>
    <row r="326" spans="8:9" x14ac:dyDescent="0.3">
      <c r="H326" s="109"/>
      <c r="I326" s="107"/>
    </row>
    <row r="327" spans="8:9" x14ac:dyDescent="0.3">
      <c r="H327" s="109"/>
      <c r="I327" s="107"/>
    </row>
    <row r="328" spans="8:9" x14ac:dyDescent="0.3">
      <c r="H328" s="109"/>
      <c r="I328" s="107"/>
    </row>
    <row r="329" spans="8:9" x14ac:dyDescent="0.3">
      <c r="H329" s="109"/>
      <c r="I329" s="107"/>
    </row>
    <row r="330" spans="8:9" x14ac:dyDescent="0.3">
      <c r="H330" s="109"/>
      <c r="I330" s="107"/>
    </row>
    <row r="331" spans="8:9" x14ac:dyDescent="0.3">
      <c r="H331" s="109"/>
      <c r="I331" s="107"/>
    </row>
    <row r="332" spans="8:9" x14ac:dyDescent="0.3">
      <c r="H332" s="109"/>
      <c r="I332" s="107"/>
    </row>
    <row r="333" spans="8:9" x14ac:dyDescent="0.3">
      <c r="H333" s="109"/>
      <c r="I333" s="107"/>
    </row>
    <row r="334" spans="8:9" x14ac:dyDescent="0.3">
      <c r="H334" s="109"/>
      <c r="I334" s="107"/>
    </row>
    <row r="335" spans="8:9" x14ac:dyDescent="0.3">
      <c r="H335" s="109"/>
      <c r="I335" s="107"/>
    </row>
    <row r="336" spans="8:9" x14ac:dyDescent="0.3">
      <c r="H336" s="109"/>
      <c r="I336" s="107"/>
    </row>
    <row r="337" spans="8:9" x14ac:dyDescent="0.3">
      <c r="H337" s="109"/>
      <c r="I337" s="107"/>
    </row>
    <row r="338" spans="8:9" x14ac:dyDescent="0.3">
      <c r="H338" s="109"/>
      <c r="I338" s="107"/>
    </row>
    <row r="339" spans="8:9" x14ac:dyDescent="0.3">
      <c r="H339" s="109"/>
      <c r="I339" s="107"/>
    </row>
    <row r="340" spans="8:9" x14ac:dyDescent="0.3">
      <c r="H340" s="109"/>
      <c r="I340" s="107"/>
    </row>
    <row r="341" spans="8:9" x14ac:dyDescent="0.3">
      <c r="H341" s="109"/>
      <c r="I341" s="107"/>
    </row>
    <row r="342" spans="8:9" x14ac:dyDescent="0.3">
      <c r="H342" s="109"/>
      <c r="I342" s="107"/>
    </row>
    <row r="343" spans="8:9" x14ac:dyDescent="0.3">
      <c r="H343" s="109"/>
      <c r="I343" s="107"/>
    </row>
    <row r="344" spans="8:9" x14ac:dyDescent="0.3">
      <c r="H344" s="109"/>
      <c r="I344" s="107"/>
    </row>
    <row r="345" spans="8:9" x14ac:dyDescent="0.3">
      <c r="H345" s="109"/>
      <c r="I345" s="107"/>
    </row>
    <row r="346" spans="8:9" x14ac:dyDescent="0.3">
      <c r="H346" s="109"/>
      <c r="I346" s="107"/>
    </row>
    <row r="347" spans="8:9" x14ac:dyDescent="0.3">
      <c r="H347" s="109"/>
      <c r="I347" s="107"/>
    </row>
    <row r="348" spans="8:9" x14ac:dyDescent="0.3">
      <c r="H348" s="109"/>
      <c r="I348" s="107"/>
    </row>
    <row r="349" spans="8:9" x14ac:dyDescent="0.3">
      <c r="H349" s="109"/>
      <c r="I349" s="107"/>
    </row>
    <row r="350" spans="8:9" x14ac:dyDescent="0.3">
      <c r="H350" s="109"/>
      <c r="I350" s="107"/>
    </row>
    <row r="351" spans="8:9" x14ac:dyDescent="0.3">
      <c r="H351" s="109"/>
      <c r="I351" s="107"/>
    </row>
    <row r="352" spans="8:9" x14ac:dyDescent="0.3">
      <c r="H352" s="109"/>
      <c r="I352" s="107"/>
    </row>
    <row r="353" spans="8:9" x14ac:dyDescent="0.3">
      <c r="H353" s="109"/>
      <c r="I353" s="107"/>
    </row>
    <row r="354" spans="8:9" x14ac:dyDescent="0.3">
      <c r="H354" s="109"/>
      <c r="I354" s="107"/>
    </row>
    <row r="355" spans="8:9" x14ac:dyDescent="0.3">
      <c r="H355" s="109"/>
      <c r="I355" s="107"/>
    </row>
    <row r="356" spans="8:9" x14ac:dyDescent="0.3">
      <c r="H356" s="109"/>
      <c r="I356" s="107"/>
    </row>
    <row r="357" spans="8:9" x14ac:dyDescent="0.3">
      <c r="H357" s="109"/>
      <c r="I357" s="107"/>
    </row>
    <row r="358" spans="8:9" x14ac:dyDescent="0.3">
      <c r="H358" s="109"/>
      <c r="I358" s="107"/>
    </row>
    <row r="359" spans="8:9" x14ac:dyDescent="0.3">
      <c r="H359" s="109"/>
      <c r="I359" s="107"/>
    </row>
    <row r="360" spans="8:9" x14ac:dyDescent="0.3">
      <c r="H360" s="109"/>
      <c r="I360" s="107"/>
    </row>
    <row r="361" spans="8:9" x14ac:dyDescent="0.3">
      <c r="H361" s="109"/>
      <c r="I361" s="107"/>
    </row>
    <row r="362" spans="8:9" x14ac:dyDescent="0.3">
      <c r="H362" s="109"/>
      <c r="I362" s="107"/>
    </row>
    <row r="363" spans="8:9" x14ac:dyDescent="0.3">
      <c r="H363" s="109"/>
      <c r="I363" s="107"/>
    </row>
    <row r="364" spans="8:9" x14ac:dyDescent="0.3">
      <c r="H364" s="109"/>
      <c r="I364" s="107"/>
    </row>
    <row r="365" spans="8:9" x14ac:dyDescent="0.3">
      <c r="H365" s="109"/>
      <c r="I365" s="107"/>
    </row>
    <row r="366" spans="8:9" x14ac:dyDescent="0.3">
      <c r="H366" s="109"/>
      <c r="I366" s="107"/>
    </row>
    <row r="367" spans="8:9" x14ac:dyDescent="0.3">
      <c r="H367" s="109"/>
      <c r="I367" s="107"/>
    </row>
    <row r="368" spans="8:9" x14ac:dyDescent="0.3">
      <c r="H368" s="109"/>
      <c r="I368" s="107"/>
    </row>
    <row r="369" spans="8:9" x14ac:dyDescent="0.3">
      <c r="H369" s="109"/>
      <c r="I369" s="107"/>
    </row>
    <row r="370" spans="8:9" x14ac:dyDescent="0.3">
      <c r="H370" s="109"/>
      <c r="I370" s="107"/>
    </row>
    <row r="371" spans="8:9" x14ac:dyDescent="0.3">
      <c r="H371" s="109"/>
      <c r="I371" s="107"/>
    </row>
    <row r="372" spans="8:9" x14ac:dyDescent="0.3">
      <c r="H372" s="109"/>
      <c r="I372" s="107"/>
    </row>
    <row r="373" spans="8:9" x14ac:dyDescent="0.3">
      <c r="H373" s="109"/>
      <c r="I373" s="107"/>
    </row>
    <row r="374" spans="8:9" x14ac:dyDescent="0.3">
      <c r="H374" s="109"/>
      <c r="I374" s="107"/>
    </row>
    <row r="375" spans="8:9" x14ac:dyDescent="0.3">
      <c r="H375" s="109"/>
      <c r="I375" s="107"/>
    </row>
    <row r="376" spans="8:9" x14ac:dyDescent="0.3">
      <c r="H376" s="109"/>
      <c r="I376" s="107"/>
    </row>
    <row r="377" spans="8:9" x14ac:dyDescent="0.3">
      <c r="H377" s="109"/>
      <c r="I377" s="107"/>
    </row>
    <row r="378" spans="8:9" x14ac:dyDescent="0.3">
      <c r="H378" s="109"/>
      <c r="I378" s="107"/>
    </row>
    <row r="379" spans="8:9" x14ac:dyDescent="0.3">
      <c r="H379" s="109"/>
      <c r="I379" s="107"/>
    </row>
    <row r="380" spans="8:9" x14ac:dyDescent="0.3">
      <c r="H380" s="109"/>
      <c r="I380" s="107"/>
    </row>
    <row r="381" spans="8:9" x14ac:dyDescent="0.3">
      <c r="H381" s="109"/>
      <c r="I381" s="107"/>
    </row>
    <row r="382" spans="8:9" x14ac:dyDescent="0.3">
      <c r="H382" s="109"/>
      <c r="I382" s="107"/>
    </row>
    <row r="383" spans="8:9" x14ac:dyDescent="0.3">
      <c r="H383" s="109"/>
      <c r="I383" s="107"/>
    </row>
    <row r="384" spans="8:9" x14ac:dyDescent="0.3">
      <c r="H384" s="109"/>
      <c r="I384" s="107"/>
    </row>
    <row r="385" spans="8:9" x14ac:dyDescent="0.3">
      <c r="H385" s="109"/>
      <c r="I385" s="107"/>
    </row>
    <row r="386" spans="8:9" x14ac:dyDescent="0.3">
      <c r="H386" s="109"/>
      <c r="I386" s="107"/>
    </row>
    <row r="387" spans="8:9" x14ac:dyDescent="0.3">
      <c r="H387" s="109"/>
      <c r="I387" s="107"/>
    </row>
    <row r="388" spans="8:9" x14ac:dyDescent="0.3">
      <c r="H388" s="109"/>
      <c r="I388" s="107"/>
    </row>
    <row r="389" spans="8:9" x14ac:dyDescent="0.3">
      <c r="H389" s="109"/>
      <c r="I389" s="107"/>
    </row>
    <row r="390" spans="8:9" x14ac:dyDescent="0.3">
      <c r="H390" s="109"/>
      <c r="I390" s="107"/>
    </row>
    <row r="391" spans="8:9" x14ac:dyDescent="0.3">
      <c r="H391" s="109"/>
      <c r="I391" s="107"/>
    </row>
    <row r="392" spans="8:9" x14ac:dyDescent="0.3">
      <c r="H392" s="109"/>
      <c r="I392" s="107"/>
    </row>
    <row r="393" spans="8:9" x14ac:dyDescent="0.3">
      <c r="H393" s="109"/>
      <c r="I393" s="107"/>
    </row>
    <row r="394" spans="8:9" x14ac:dyDescent="0.3">
      <c r="H394" s="109"/>
      <c r="I394" s="107"/>
    </row>
    <row r="395" spans="8:9" x14ac:dyDescent="0.3">
      <c r="H395" s="109"/>
      <c r="I395" s="107"/>
    </row>
    <row r="396" spans="8:9" x14ac:dyDescent="0.3">
      <c r="H396" s="109"/>
      <c r="I396" s="107"/>
    </row>
    <row r="397" spans="8:9" x14ac:dyDescent="0.3">
      <c r="H397" s="109"/>
      <c r="I397" s="107"/>
    </row>
    <row r="398" spans="8:9" x14ac:dyDescent="0.3">
      <c r="H398" s="109"/>
      <c r="I398" s="107"/>
    </row>
    <row r="399" spans="8:9" x14ac:dyDescent="0.3">
      <c r="H399" s="109"/>
      <c r="I399" s="107"/>
    </row>
    <row r="400" spans="8:9" x14ac:dyDescent="0.3">
      <c r="H400" s="109"/>
      <c r="I400" s="107"/>
    </row>
    <row r="401" spans="8:9" x14ac:dyDescent="0.3">
      <c r="H401" s="109"/>
      <c r="I401" s="107"/>
    </row>
    <row r="402" spans="8:9" x14ac:dyDescent="0.3">
      <c r="H402" s="109"/>
      <c r="I402" s="107"/>
    </row>
    <row r="403" spans="8:9" x14ac:dyDescent="0.3">
      <c r="H403" s="109"/>
      <c r="I403" s="107"/>
    </row>
    <row r="404" spans="8:9" x14ac:dyDescent="0.3">
      <c r="H404" s="109"/>
      <c r="I404" s="107"/>
    </row>
    <row r="405" spans="8:9" x14ac:dyDescent="0.3">
      <c r="H405" s="109"/>
      <c r="I405" s="107"/>
    </row>
    <row r="406" spans="8:9" x14ac:dyDescent="0.3">
      <c r="H406" s="109"/>
      <c r="I406" s="107"/>
    </row>
    <row r="407" spans="8:9" x14ac:dyDescent="0.3">
      <c r="H407" s="109"/>
      <c r="I407" s="107"/>
    </row>
    <row r="408" spans="8:9" x14ac:dyDescent="0.3">
      <c r="H408" s="109"/>
      <c r="I408" s="107"/>
    </row>
    <row r="409" spans="8:9" x14ac:dyDescent="0.3">
      <c r="H409" s="109"/>
      <c r="I409" s="107"/>
    </row>
    <row r="410" spans="8:9" x14ac:dyDescent="0.3">
      <c r="H410" s="109"/>
      <c r="I410" s="107"/>
    </row>
    <row r="411" spans="8:9" x14ac:dyDescent="0.3">
      <c r="H411" s="109"/>
      <c r="I411" s="107"/>
    </row>
    <row r="412" spans="8:9" x14ac:dyDescent="0.3">
      <c r="H412" s="109"/>
      <c r="I412" s="107"/>
    </row>
    <row r="413" spans="8:9" x14ac:dyDescent="0.3">
      <c r="H413" s="109"/>
      <c r="I413" s="107"/>
    </row>
    <row r="414" spans="8:9" x14ac:dyDescent="0.3">
      <c r="H414" s="109"/>
      <c r="I414" s="107"/>
    </row>
    <row r="415" spans="8:9" x14ac:dyDescent="0.3">
      <c r="H415" s="109"/>
      <c r="I415" s="107"/>
    </row>
    <row r="416" spans="8:9" x14ac:dyDescent="0.3">
      <c r="H416" s="109"/>
      <c r="I416" s="107"/>
    </row>
    <row r="417" spans="8:9" x14ac:dyDescent="0.3">
      <c r="H417" s="109"/>
      <c r="I417" s="107"/>
    </row>
    <row r="418" spans="8:9" x14ac:dyDescent="0.3">
      <c r="H418" s="109"/>
      <c r="I418" s="107"/>
    </row>
    <row r="419" spans="8:9" x14ac:dyDescent="0.3">
      <c r="H419" s="109"/>
      <c r="I419" s="107"/>
    </row>
    <row r="420" spans="8:9" x14ac:dyDescent="0.3">
      <c r="H420" s="109"/>
      <c r="I420" s="107"/>
    </row>
    <row r="421" spans="8:9" x14ac:dyDescent="0.3">
      <c r="H421" s="109"/>
      <c r="I421" s="107"/>
    </row>
    <row r="422" spans="8:9" x14ac:dyDescent="0.3">
      <c r="H422" s="109"/>
      <c r="I422" s="107"/>
    </row>
    <row r="423" spans="8:9" x14ac:dyDescent="0.3">
      <c r="H423" s="109"/>
      <c r="I423" s="107"/>
    </row>
    <row r="424" spans="8:9" x14ac:dyDescent="0.3">
      <c r="H424" s="109"/>
      <c r="I424" s="107"/>
    </row>
    <row r="425" spans="8:9" x14ac:dyDescent="0.3">
      <c r="H425" s="109"/>
      <c r="I425" s="107"/>
    </row>
    <row r="426" spans="8:9" x14ac:dyDescent="0.3">
      <c r="H426" s="109"/>
      <c r="I426" s="107"/>
    </row>
    <row r="427" spans="8:9" x14ac:dyDescent="0.3">
      <c r="H427" s="109"/>
      <c r="I427" s="107"/>
    </row>
    <row r="428" spans="8:9" x14ac:dyDescent="0.3">
      <c r="H428" s="109"/>
      <c r="I428" s="107"/>
    </row>
    <row r="429" spans="8:9" x14ac:dyDescent="0.3">
      <c r="H429" s="109"/>
      <c r="I429" s="107"/>
    </row>
    <row r="430" spans="8:9" x14ac:dyDescent="0.3">
      <c r="H430" s="109"/>
      <c r="I430" s="107"/>
    </row>
    <row r="431" spans="8:9" x14ac:dyDescent="0.3">
      <c r="H431" s="109"/>
      <c r="I431" s="107"/>
    </row>
    <row r="432" spans="8:9" x14ac:dyDescent="0.3">
      <c r="H432" s="109"/>
      <c r="I432" s="107"/>
    </row>
    <row r="433" spans="8:9" x14ac:dyDescent="0.3">
      <c r="H433" s="109"/>
      <c r="I433" s="107"/>
    </row>
    <row r="434" spans="8:9" x14ac:dyDescent="0.3">
      <c r="H434" s="109"/>
      <c r="I434" s="107"/>
    </row>
    <row r="435" spans="8:9" x14ac:dyDescent="0.3">
      <c r="H435" s="109"/>
      <c r="I435" s="107"/>
    </row>
    <row r="436" spans="8:9" x14ac:dyDescent="0.3">
      <c r="H436" s="109"/>
      <c r="I436" s="107"/>
    </row>
    <row r="437" spans="8:9" x14ac:dyDescent="0.3">
      <c r="H437" s="109"/>
      <c r="I437" s="107"/>
    </row>
    <row r="438" spans="8:9" x14ac:dyDescent="0.3">
      <c r="H438" s="109"/>
      <c r="I438" s="107"/>
    </row>
    <row r="439" spans="8:9" x14ac:dyDescent="0.3">
      <c r="H439" s="109"/>
      <c r="I439" s="107"/>
    </row>
    <row r="440" spans="8:9" x14ac:dyDescent="0.3">
      <c r="H440" s="109"/>
      <c r="I440" s="107"/>
    </row>
    <row r="441" spans="8:9" x14ac:dyDescent="0.3">
      <c r="H441" s="109"/>
      <c r="I441" s="107"/>
    </row>
    <row r="442" spans="8:9" x14ac:dyDescent="0.3">
      <c r="H442" s="109"/>
      <c r="I442" s="107"/>
    </row>
    <row r="443" spans="8:9" x14ac:dyDescent="0.3">
      <c r="H443" s="109"/>
      <c r="I443" s="107"/>
    </row>
    <row r="444" spans="8:9" x14ac:dyDescent="0.3">
      <c r="H444" s="109"/>
      <c r="I444" s="107"/>
    </row>
    <row r="445" spans="8:9" x14ac:dyDescent="0.3">
      <c r="H445" s="109"/>
      <c r="I445" s="107"/>
    </row>
    <row r="446" spans="8:9" x14ac:dyDescent="0.3">
      <c r="H446" s="109"/>
      <c r="I446" s="107"/>
    </row>
    <row r="447" spans="8:9" x14ac:dyDescent="0.3">
      <c r="H447" s="109"/>
      <c r="I447" s="107"/>
    </row>
    <row r="448" spans="8:9" x14ac:dyDescent="0.3">
      <c r="H448" s="109"/>
      <c r="I448" s="107"/>
    </row>
    <row r="449" spans="8:9" x14ac:dyDescent="0.3">
      <c r="H449" s="109"/>
      <c r="I449" s="107"/>
    </row>
    <row r="450" spans="8:9" x14ac:dyDescent="0.3">
      <c r="H450" s="109"/>
      <c r="I450" s="107"/>
    </row>
    <row r="451" spans="8:9" x14ac:dyDescent="0.3">
      <c r="H451" s="109"/>
      <c r="I451" s="107"/>
    </row>
    <row r="452" spans="8:9" x14ac:dyDescent="0.3">
      <c r="H452" s="109"/>
      <c r="I452" s="107"/>
    </row>
    <row r="453" spans="8:9" x14ac:dyDescent="0.3">
      <c r="H453" s="109"/>
      <c r="I453" s="107"/>
    </row>
    <row r="454" spans="8:9" x14ac:dyDescent="0.3">
      <c r="H454" s="109"/>
      <c r="I454" s="107"/>
    </row>
    <row r="455" spans="8:9" x14ac:dyDescent="0.3">
      <c r="H455" s="109"/>
      <c r="I455" s="107"/>
    </row>
    <row r="456" spans="8:9" x14ac:dyDescent="0.3">
      <c r="H456" s="109"/>
      <c r="I456" s="107"/>
    </row>
    <row r="457" spans="8:9" x14ac:dyDescent="0.3">
      <c r="H457" s="109"/>
      <c r="I457" s="107"/>
    </row>
    <row r="458" spans="8:9" x14ac:dyDescent="0.3">
      <c r="H458" s="109"/>
      <c r="I458" s="107"/>
    </row>
    <row r="459" spans="8:9" x14ac:dyDescent="0.3">
      <c r="H459" s="109"/>
      <c r="I459" s="107"/>
    </row>
    <row r="460" spans="8:9" x14ac:dyDescent="0.3">
      <c r="H460" s="109"/>
      <c r="I460" s="107"/>
    </row>
    <row r="461" spans="8:9" x14ac:dyDescent="0.3">
      <c r="H461" s="109"/>
      <c r="I461" s="107"/>
    </row>
    <row r="462" spans="8:9" x14ac:dyDescent="0.3">
      <c r="H462" s="109"/>
      <c r="I462" s="107"/>
    </row>
    <row r="463" spans="8:9" x14ac:dyDescent="0.3">
      <c r="H463" s="109"/>
      <c r="I463" s="107"/>
    </row>
    <row r="464" spans="8:9" x14ac:dyDescent="0.3">
      <c r="H464" s="109"/>
      <c r="I464" s="107"/>
    </row>
    <row r="465" spans="8:9" x14ac:dyDescent="0.3">
      <c r="H465" s="109"/>
      <c r="I465" s="107"/>
    </row>
    <row r="466" spans="8:9" x14ac:dyDescent="0.3">
      <c r="H466" s="109"/>
      <c r="I466" s="107"/>
    </row>
    <row r="467" spans="8:9" x14ac:dyDescent="0.3">
      <c r="H467" s="109"/>
      <c r="I467" s="107"/>
    </row>
    <row r="468" spans="8:9" x14ac:dyDescent="0.3">
      <c r="H468" s="109"/>
      <c r="I468" s="107"/>
    </row>
    <row r="469" spans="8:9" x14ac:dyDescent="0.3">
      <c r="H469" s="109"/>
      <c r="I469" s="107"/>
    </row>
    <row r="470" spans="8:9" x14ac:dyDescent="0.3">
      <c r="H470" s="109"/>
      <c r="I470" s="107"/>
    </row>
    <row r="471" spans="8:9" x14ac:dyDescent="0.3">
      <c r="H471" s="109"/>
      <c r="I471" s="107"/>
    </row>
    <row r="472" spans="8:9" x14ac:dyDescent="0.3">
      <c r="H472" s="109"/>
      <c r="I472" s="107"/>
    </row>
    <row r="473" spans="8:9" x14ac:dyDescent="0.3">
      <c r="H473" s="109"/>
      <c r="I473" s="107"/>
    </row>
    <row r="474" spans="8:9" x14ac:dyDescent="0.3">
      <c r="H474" s="109"/>
      <c r="I474" s="107"/>
    </row>
    <row r="475" spans="8:9" x14ac:dyDescent="0.3">
      <c r="H475" s="109"/>
      <c r="I475" s="107"/>
    </row>
    <row r="476" spans="8:9" x14ac:dyDescent="0.3">
      <c r="H476" s="109"/>
      <c r="I476" s="107"/>
    </row>
    <row r="477" spans="8:9" x14ac:dyDescent="0.3">
      <c r="H477" s="109"/>
      <c r="I477" s="107"/>
    </row>
    <row r="478" spans="8:9" x14ac:dyDescent="0.3">
      <c r="H478" s="109"/>
      <c r="I478" s="107"/>
    </row>
    <row r="479" spans="8:9" x14ac:dyDescent="0.3">
      <c r="H479" s="109"/>
      <c r="I479" s="107"/>
    </row>
    <row r="480" spans="8:9" x14ac:dyDescent="0.3">
      <c r="H480" s="109"/>
      <c r="I480" s="107"/>
    </row>
    <row r="481" spans="8:9" x14ac:dyDescent="0.3">
      <c r="H481" s="109"/>
      <c r="I481" s="107"/>
    </row>
    <row r="482" spans="8:9" x14ac:dyDescent="0.3">
      <c r="H482" s="109"/>
      <c r="I482" s="107"/>
    </row>
    <row r="483" spans="8:9" x14ac:dyDescent="0.3">
      <c r="H483" s="109"/>
      <c r="I483" s="107"/>
    </row>
    <row r="484" spans="8:9" x14ac:dyDescent="0.3">
      <c r="H484" s="109"/>
      <c r="I484" s="107"/>
    </row>
    <row r="485" spans="8:9" x14ac:dyDescent="0.3">
      <c r="H485" s="109"/>
      <c r="I485" s="107"/>
    </row>
    <row r="486" spans="8:9" x14ac:dyDescent="0.3">
      <c r="H486" s="109"/>
      <c r="I486" s="107"/>
    </row>
    <row r="487" spans="8:9" x14ac:dyDescent="0.3">
      <c r="H487" s="109"/>
      <c r="I487" s="107"/>
    </row>
    <row r="488" spans="8:9" x14ac:dyDescent="0.3">
      <c r="H488" s="109"/>
      <c r="I488" s="107"/>
    </row>
    <row r="489" spans="8:9" x14ac:dyDescent="0.3">
      <c r="H489" s="109"/>
      <c r="I489" s="107"/>
    </row>
    <row r="490" spans="8:9" x14ac:dyDescent="0.3">
      <c r="H490" s="109"/>
      <c r="I490" s="107"/>
    </row>
    <row r="491" spans="8:9" x14ac:dyDescent="0.3">
      <c r="H491" s="109"/>
      <c r="I491" s="107"/>
    </row>
    <row r="492" spans="8:9" x14ac:dyDescent="0.3">
      <c r="H492" s="109"/>
      <c r="I492" s="107"/>
    </row>
    <row r="493" spans="8:9" x14ac:dyDescent="0.3">
      <c r="H493" s="109"/>
      <c r="I493" s="107"/>
    </row>
    <row r="494" spans="8:9" x14ac:dyDescent="0.3">
      <c r="H494" s="109"/>
      <c r="I494" s="107"/>
    </row>
    <row r="495" spans="8:9" x14ac:dyDescent="0.3">
      <c r="H495" s="109"/>
      <c r="I495" s="107"/>
    </row>
    <row r="496" spans="8:9" x14ac:dyDescent="0.3">
      <c r="H496" s="109"/>
      <c r="I496" s="107"/>
    </row>
    <row r="497" spans="8:9" x14ac:dyDescent="0.3">
      <c r="H497" s="109"/>
      <c r="I497" s="107"/>
    </row>
    <row r="498" spans="8:9" x14ac:dyDescent="0.3">
      <c r="H498" s="109"/>
      <c r="I498" s="107"/>
    </row>
    <row r="499" spans="8:9" x14ac:dyDescent="0.3">
      <c r="H499" s="109"/>
      <c r="I499" s="107"/>
    </row>
    <row r="500" spans="8:9" x14ac:dyDescent="0.3">
      <c r="H500" s="109"/>
      <c r="I500" s="107"/>
    </row>
    <row r="501" spans="8:9" x14ac:dyDescent="0.3">
      <c r="H501" s="109"/>
      <c r="I501" s="107"/>
    </row>
    <row r="502" spans="8:9" x14ac:dyDescent="0.3">
      <c r="H502" s="109"/>
      <c r="I502" s="107"/>
    </row>
    <row r="503" spans="8:9" x14ac:dyDescent="0.3">
      <c r="H503" s="109"/>
      <c r="I503" s="107"/>
    </row>
    <row r="504" spans="8:9" x14ac:dyDescent="0.3">
      <c r="H504" s="109"/>
      <c r="I504" s="107"/>
    </row>
    <row r="505" spans="8:9" x14ac:dyDescent="0.3">
      <c r="H505" s="109"/>
      <c r="I505" s="107"/>
    </row>
    <row r="506" spans="8:9" x14ac:dyDescent="0.3">
      <c r="H506" s="109"/>
      <c r="I506" s="107"/>
    </row>
    <row r="507" spans="8:9" x14ac:dyDescent="0.3">
      <c r="H507" s="109"/>
      <c r="I507" s="107"/>
    </row>
    <row r="508" spans="8:9" x14ac:dyDescent="0.3">
      <c r="H508" s="109"/>
      <c r="I508" s="107"/>
    </row>
    <row r="509" spans="8:9" x14ac:dyDescent="0.3">
      <c r="H509" s="109"/>
      <c r="I509" s="107"/>
    </row>
    <row r="510" spans="8:9" x14ac:dyDescent="0.3">
      <c r="H510" s="109"/>
      <c r="I510" s="107"/>
    </row>
    <row r="511" spans="8:9" x14ac:dyDescent="0.3">
      <c r="H511" s="109"/>
      <c r="I511" s="107"/>
    </row>
    <row r="512" spans="8:9" x14ac:dyDescent="0.3">
      <c r="H512" s="109"/>
      <c r="I512" s="107"/>
    </row>
    <row r="513" spans="8:9" x14ac:dyDescent="0.3">
      <c r="H513" s="109"/>
      <c r="I513" s="107"/>
    </row>
    <row r="514" spans="8:9" x14ac:dyDescent="0.3">
      <c r="H514" s="109"/>
      <c r="I514" s="107"/>
    </row>
    <row r="515" spans="8:9" x14ac:dyDescent="0.3">
      <c r="H515" s="109"/>
      <c r="I515" s="107"/>
    </row>
    <row r="516" spans="8:9" x14ac:dyDescent="0.3">
      <c r="H516" s="109"/>
      <c r="I516" s="107"/>
    </row>
    <row r="517" spans="8:9" x14ac:dyDescent="0.3">
      <c r="H517" s="109"/>
      <c r="I517" s="107"/>
    </row>
    <row r="518" spans="8:9" x14ac:dyDescent="0.3">
      <c r="H518" s="109"/>
      <c r="I518" s="107"/>
    </row>
    <row r="519" spans="8:9" x14ac:dyDescent="0.3">
      <c r="H519" s="109"/>
      <c r="I519" s="107"/>
    </row>
    <row r="520" spans="8:9" x14ac:dyDescent="0.3">
      <c r="H520" s="109"/>
      <c r="I520" s="107"/>
    </row>
    <row r="521" spans="8:9" x14ac:dyDescent="0.3">
      <c r="H521" s="109"/>
      <c r="I521" s="107"/>
    </row>
    <row r="522" spans="8:9" x14ac:dyDescent="0.3">
      <c r="H522" s="109"/>
      <c r="I522" s="107"/>
    </row>
    <row r="523" spans="8:9" x14ac:dyDescent="0.3">
      <c r="H523" s="109"/>
      <c r="I523" s="107"/>
    </row>
    <row r="524" spans="8:9" x14ac:dyDescent="0.3">
      <c r="H524" s="109"/>
      <c r="I524" s="107"/>
    </row>
    <row r="525" spans="8:9" x14ac:dyDescent="0.3">
      <c r="H525" s="109"/>
      <c r="I525" s="107"/>
    </row>
    <row r="526" spans="8:9" x14ac:dyDescent="0.3">
      <c r="H526" s="109"/>
      <c r="I526" s="107"/>
    </row>
    <row r="527" spans="8:9" x14ac:dyDescent="0.3">
      <c r="H527" s="109"/>
      <c r="I527" s="107"/>
    </row>
    <row r="528" spans="8:9" x14ac:dyDescent="0.3">
      <c r="H528" s="109"/>
      <c r="I528" s="107"/>
    </row>
    <row r="529" spans="8:9" x14ac:dyDescent="0.3">
      <c r="H529" s="109"/>
      <c r="I529" s="107"/>
    </row>
    <row r="530" spans="8:9" x14ac:dyDescent="0.3">
      <c r="H530" s="109"/>
      <c r="I530" s="107"/>
    </row>
    <row r="531" spans="8:9" x14ac:dyDescent="0.3">
      <c r="H531" s="109"/>
      <c r="I531" s="107"/>
    </row>
    <row r="532" spans="8:9" x14ac:dyDescent="0.3">
      <c r="H532" s="109"/>
      <c r="I532" s="107"/>
    </row>
    <row r="533" spans="8:9" x14ac:dyDescent="0.3">
      <c r="H533" s="109"/>
      <c r="I533" s="107"/>
    </row>
    <row r="534" spans="8:9" x14ac:dyDescent="0.3">
      <c r="H534" s="109"/>
      <c r="I534" s="107"/>
    </row>
    <row r="535" spans="8:9" x14ac:dyDescent="0.3">
      <c r="H535" s="109"/>
      <c r="I535" s="107"/>
    </row>
    <row r="536" spans="8:9" x14ac:dyDescent="0.3">
      <c r="H536" s="109"/>
      <c r="I536" s="107"/>
    </row>
    <row r="537" spans="8:9" x14ac:dyDescent="0.3">
      <c r="H537" s="109"/>
      <c r="I537" s="107"/>
    </row>
    <row r="538" spans="8:9" x14ac:dyDescent="0.3">
      <c r="H538" s="109"/>
      <c r="I538" s="107"/>
    </row>
    <row r="539" spans="8:9" x14ac:dyDescent="0.3">
      <c r="H539" s="109"/>
      <c r="I539" s="107"/>
    </row>
    <row r="540" spans="8:9" x14ac:dyDescent="0.3">
      <c r="H540" s="109"/>
      <c r="I540" s="107"/>
    </row>
    <row r="541" spans="8:9" x14ac:dyDescent="0.3">
      <c r="H541" s="109"/>
      <c r="I541" s="107"/>
    </row>
    <row r="542" spans="8:9" x14ac:dyDescent="0.3">
      <c r="H542" s="109"/>
      <c r="I542" s="107"/>
    </row>
    <row r="543" spans="8:9" x14ac:dyDescent="0.3">
      <c r="H543" s="109"/>
      <c r="I543" s="107"/>
    </row>
    <row r="544" spans="8:9" x14ac:dyDescent="0.3">
      <c r="H544" s="109"/>
      <c r="I544" s="107"/>
    </row>
    <row r="545" spans="8:9" x14ac:dyDescent="0.3">
      <c r="H545" s="109"/>
      <c r="I545" s="107"/>
    </row>
    <row r="546" spans="8:9" x14ac:dyDescent="0.3">
      <c r="H546" s="109"/>
      <c r="I546" s="107"/>
    </row>
    <row r="547" spans="8:9" x14ac:dyDescent="0.3">
      <c r="H547" s="109"/>
      <c r="I547" s="107"/>
    </row>
    <row r="548" spans="8:9" x14ac:dyDescent="0.3">
      <c r="H548" s="109"/>
      <c r="I548" s="107"/>
    </row>
    <row r="549" spans="8:9" x14ac:dyDescent="0.3">
      <c r="H549" s="109"/>
      <c r="I549" s="107"/>
    </row>
    <row r="550" spans="8:9" x14ac:dyDescent="0.3">
      <c r="H550" s="109"/>
      <c r="I550" s="107"/>
    </row>
    <row r="551" spans="8:9" x14ac:dyDescent="0.3">
      <c r="H551" s="109"/>
      <c r="I551" s="107"/>
    </row>
    <row r="552" spans="8:9" x14ac:dyDescent="0.3">
      <c r="H552" s="109"/>
      <c r="I552" s="107"/>
    </row>
    <row r="553" spans="8:9" x14ac:dyDescent="0.3">
      <c r="H553" s="109"/>
      <c r="I553" s="107"/>
    </row>
    <row r="554" spans="8:9" x14ac:dyDescent="0.3">
      <c r="H554" s="109"/>
      <c r="I554" s="107"/>
    </row>
    <row r="555" spans="8:9" x14ac:dyDescent="0.3">
      <c r="H555" s="109"/>
      <c r="I555" s="107"/>
    </row>
    <row r="556" spans="8:9" x14ac:dyDescent="0.3">
      <c r="H556" s="109"/>
      <c r="I556" s="107"/>
    </row>
    <row r="557" spans="8:9" x14ac:dyDescent="0.3">
      <c r="H557" s="109"/>
      <c r="I557" s="107"/>
    </row>
    <row r="558" spans="8:9" x14ac:dyDescent="0.3">
      <c r="H558" s="109"/>
      <c r="I558" s="107"/>
    </row>
    <row r="559" spans="8:9" x14ac:dyDescent="0.3">
      <c r="H559" s="109"/>
      <c r="I559" s="107"/>
    </row>
    <row r="560" spans="8:9" x14ac:dyDescent="0.3">
      <c r="H560" s="109"/>
      <c r="I560" s="107"/>
    </row>
    <row r="561" spans="8:9" x14ac:dyDescent="0.3">
      <c r="H561" s="109"/>
      <c r="I561" s="107"/>
    </row>
    <row r="562" spans="8:9" x14ac:dyDescent="0.3">
      <c r="H562" s="109"/>
      <c r="I562" s="107"/>
    </row>
    <row r="563" spans="8:9" x14ac:dyDescent="0.3">
      <c r="H563" s="109"/>
      <c r="I563" s="107"/>
    </row>
    <row r="564" spans="8:9" x14ac:dyDescent="0.3">
      <c r="H564" s="109"/>
      <c r="I564" s="107"/>
    </row>
    <row r="565" spans="8:9" x14ac:dyDescent="0.3">
      <c r="H565" s="109"/>
      <c r="I565" s="107"/>
    </row>
    <row r="566" spans="8:9" x14ac:dyDescent="0.3">
      <c r="H566" s="109"/>
      <c r="I566" s="107"/>
    </row>
    <row r="567" spans="8:9" x14ac:dyDescent="0.3">
      <c r="H567" s="109"/>
      <c r="I567" s="107"/>
    </row>
    <row r="568" spans="8:9" x14ac:dyDescent="0.3">
      <c r="H568" s="109"/>
      <c r="I568" s="107"/>
    </row>
    <row r="569" spans="8:9" x14ac:dyDescent="0.3">
      <c r="H569" s="109"/>
      <c r="I569" s="107"/>
    </row>
    <row r="570" spans="8:9" x14ac:dyDescent="0.3">
      <c r="H570" s="109"/>
      <c r="I570" s="107"/>
    </row>
    <row r="571" spans="8:9" x14ac:dyDescent="0.3">
      <c r="H571" s="109"/>
      <c r="I571" s="107"/>
    </row>
    <row r="572" spans="8:9" x14ac:dyDescent="0.3">
      <c r="H572" s="109"/>
      <c r="I572" s="107"/>
    </row>
    <row r="573" spans="8:9" x14ac:dyDescent="0.3">
      <c r="H573" s="109"/>
      <c r="I573" s="107"/>
    </row>
    <row r="574" spans="8:9" x14ac:dyDescent="0.3">
      <c r="H574" s="109"/>
      <c r="I574" s="107"/>
    </row>
    <row r="575" spans="8:9" x14ac:dyDescent="0.3">
      <c r="H575" s="109"/>
      <c r="I575" s="107"/>
    </row>
    <row r="576" spans="8:9" x14ac:dyDescent="0.3">
      <c r="H576" s="109"/>
      <c r="I576" s="107"/>
    </row>
    <row r="577" spans="8:9" x14ac:dyDescent="0.3">
      <c r="H577" s="109"/>
      <c r="I577" s="107"/>
    </row>
    <row r="578" spans="8:9" x14ac:dyDescent="0.3">
      <c r="H578" s="109"/>
      <c r="I578" s="107"/>
    </row>
    <row r="579" spans="8:9" x14ac:dyDescent="0.3">
      <c r="H579" s="109"/>
      <c r="I579" s="107"/>
    </row>
    <row r="580" spans="8:9" x14ac:dyDescent="0.3">
      <c r="H580" s="109"/>
      <c r="I580" s="107"/>
    </row>
    <row r="581" spans="8:9" x14ac:dyDescent="0.3">
      <c r="H581" s="109"/>
      <c r="I581" s="107"/>
    </row>
    <row r="582" spans="8:9" x14ac:dyDescent="0.3">
      <c r="H582" s="109"/>
      <c r="I582" s="107"/>
    </row>
    <row r="583" spans="8:9" x14ac:dyDescent="0.3">
      <c r="H583" s="109"/>
      <c r="I583" s="107"/>
    </row>
    <row r="584" spans="8:9" x14ac:dyDescent="0.3">
      <c r="H584" s="109"/>
      <c r="I584" s="107"/>
    </row>
    <row r="585" spans="8:9" x14ac:dyDescent="0.3">
      <c r="H585" s="109"/>
      <c r="I585" s="107"/>
    </row>
    <row r="586" spans="8:9" x14ac:dyDescent="0.3">
      <c r="H586" s="109"/>
      <c r="I586" s="107"/>
    </row>
    <row r="587" spans="8:9" x14ac:dyDescent="0.3">
      <c r="H587" s="109"/>
      <c r="I587" s="107"/>
    </row>
    <row r="588" spans="8:9" x14ac:dyDescent="0.3">
      <c r="H588" s="109"/>
      <c r="I588" s="107"/>
    </row>
    <row r="589" spans="8:9" x14ac:dyDescent="0.3">
      <c r="H589" s="109"/>
      <c r="I589" s="107"/>
    </row>
    <row r="590" spans="8:9" x14ac:dyDescent="0.3">
      <c r="H590" s="109"/>
      <c r="I590" s="107"/>
    </row>
    <row r="591" spans="8:9" x14ac:dyDescent="0.3">
      <c r="H591" s="109"/>
      <c r="I591" s="107"/>
    </row>
    <row r="592" spans="8:9" x14ac:dyDescent="0.3">
      <c r="H592" s="109"/>
      <c r="I592" s="107"/>
    </row>
    <row r="593" spans="8:9" x14ac:dyDescent="0.3">
      <c r="H593" s="109"/>
      <c r="I593" s="107"/>
    </row>
    <row r="594" spans="8:9" x14ac:dyDescent="0.3">
      <c r="H594" s="109"/>
      <c r="I594" s="107"/>
    </row>
    <row r="595" spans="8:9" x14ac:dyDescent="0.3">
      <c r="H595" s="109"/>
      <c r="I595" s="107"/>
    </row>
    <row r="596" spans="8:9" x14ac:dyDescent="0.3">
      <c r="H596" s="109"/>
      <c r="I596" s="107"/>
    </row>
    <row r="597" spans="8:9" x14ac:dyDescent="0.3">
      <c r="H597" s="109"/>
      <c r="I597" s="107"/>
    </row>
    <row r="598" spans="8:9" x14ac:dyDescent="0.3">
      <c r="H598" s="109"/>
      <c r="I598" s="107"/>
    </row>
    <row r="599" spans="8:9" x14ac:dyDescent="0.3">
      <c r="H599" s="109"/>
      <c r="I599" s="107"/>
    </row>
    <row r="600" spans="8:9" x14ac:dyDescent="0.3">
      <c r="H600" s="109"/>
      <c r="I600" s="107"/>
    </row>
    <row r="601" spans="8:9" x14ac:dyDescent="0.3">
      <c r="H601" s="109"/>
      <c r="I601" s="107"/>
    </row>
    <row r="602" spans="8:9" x14ac:dyDescent="0.3">
      <c r="H602" s="109"/>
      <c r="I602" s="107"/>
    </row>
    <row r="603" spans="8:9" x14ac:dyDescent="0.3">
      <c r="H603" s="109"/>
      <c r="I603" s="107"/>
    </row>
    <row r="604" spans="8:9" x14ac:dyDescent="0.3">
      <c r="H604" s="109"/>
      <c r="I604" s="107"/>
    </row>
    <row r="605" spans="8:9" x14ac:dyDescent="0.3">
      <c r="H605" s="109"/>
      <c r="I605" s="107"/>
    </row>
    <row r="606" spans="8:9" x14ac:dyDescent="0.3">
      <c r="H606" s="109"/>
      <c r="I606" s="107"/>
    </row>
    <row r="607" spans="8:9" x14ac:dyDescent="0.3">
      <c r="H607" s="109"/>
      <c r="I607" s="107"/>
    </row>
    <row r="608" spans="8:9" x14ac:dyDescent="0.3">
      <c r="H608" s="109"/>
      <c r="I608" s="107"/>
    </row>
    <row r="609" spans="8:9" x14ac:dyDescent="0.3">
      <c r="H609" s="109"/>
      <c r="I609" s="107"/>
    </row>
    <row r="610" spans="8:9" x14ac:dyDescent="0.3">
      <c r="H610" s="109"/>
      <c r="I610" s="107"/>
    </row>
    <row r="611" spans="8:9" x14ac:dyDescent="0.3">
      <c r="H611" s="109"/>
      <c r="I611" s="107"/>
    </row>
    <row r="612" spans="8:9" x14ac:dyDescent="0.3">
      <c r="H612" s="109"/>
      <c r="I612" s="107"/>
    </row>
    <row r="613" spans="8:9" x14ac:dyDescent="0.3">
      <c r="H613" s="109"/>
      <c r="I613" s="107"/>
    </row>
    <row r="614" spans="8:9" x14ac:dyDescent="0.3">
      <c r="H614" s="109"/>
      <c r="I614" s="107"/>
    </row>
    <row r="615" spans="8:9" x14ac:dyDescent="0.3">
      <c r="H615" s="109"/>
      <c r="I615" s="107"/>
    </row>
    <row r="616" spans="8:9" x14ac:dyDescent="0.3">
      <c r="H616" s="109"/>
      <c r="I616" s="107"/>
    </row>
    <row r="617" spans="8:9" x14ac:dyDescent="0.3">
      <c r="H617" s="109"/>
      <c r="I617" s="107"/>
    </row>
    <row r="618" spans="8:9" x14ac:dyDescent="0.3">
      <c r="H618" s="109"/>
      <c r="I618" s="107"/>
    </row>
    <row r="619" spans="8:9" x14ac:dyDescent="0.3">
      <c r="H619" s="109"/>
      <c r="I619" s="107"/>
    </row>
    <row r="620" spans="8:9" x14ac:dyDescent="0.3">
      <c r="H620" s="109"/>
      <c r="I620" s="107"/>
    </row>
    <row r="621" spans="8:9" x14ac:dyDescent="0.3">
      <c r="H621" s="109"/>
      <c r="I621" s="107"/>
    </row>
    <row r="622" spans="8:9" x14ac:dyDescent="0.3">
      <c r="H622" s="109"/>
      <c r="I622" s="107"/>
    </row>
    <row r="623" spans="8:9" x14ac:dyDescent="0.3">
      <c r="H623" s="109"/>
      <c r="I623" s="107"/>
    </row>
    <row r="624" spans="8:9" x14ac:dyDescent="0.3">
      <c r="H624" s="109"/>
      <c r="I624" s="107"/>
    </row>
    <row r="625" spans="8:9" x14ac:dyDescent="0.3">
      <c r="H625" s="109"/>
      <c r="I625" s="107"/>
    </row>
    <row r="626" spans="8:9" x14ac:dyDescent="0.3">
      <c r="H626" s="109"/>
      <c r="I626" s="107"/>
    </row>
    <row r="627" spans="8:9" x14ac:dyDescent="0.3">
      <c r="H627" s="109"/>
      <c r="I627" s="107"/>
    </row>
    <row r="628" spans="8:9" x14ac:dyDescent="0.3">
      <c r="H628" s="109"/>
      <c r="I628" s="107"/>
    </row>
    <row r="629" spans="8:9" x14ac:dyDescent="0.3">
      <c r="H629" s="109"/>
      <c r="I629" s="107"/>
    </row>
    <row r="630" spans="8:9" x14ac:dyDescent="0.3">
      <c r="H630" s="109"/>
      <c r="I630" s="107"/>
    </row>
    <row r="631" spans="8:9" x14ac:dyDescent="0.3">
      <c r="H631" s="109"/>
      <c r="I631" s="107"/>
    </row>
    <row r="632" spans="8:9" x14ac:dyDescent="0.3">
      <c r="H632" s="109"/>
      <c r="I632" s="107"/>
    </row>
    <row r="633" spans="8:9" x14ac:dyDescent="0.3">
      <c r="H633" s="109"/>
      <c r="I633" s="107"/>
    </row>
    <row r="634" spans="8:9" x14ac:dyDescent="0.3">
      <c r="H634" s="109"/>
      <c r="I634" s="107"/>
    </row>
    <row r="635" spans="8:9" x14ac:dyDescent="0.3">
      <c r="H635" s="109"/>
      <c r="I635" s="107"/>
    </row>
    <row r="636" spans="8:9" x14ac:dyDescent="0.3">
      <c r="H636" s="109"/>
      <c r="I636" s="107"/>
    </row>
    <row r="637" spans="8:9" x14ac:dyDescent="0.3">
      <c r="H637" s="109"/>
      <c r="I637" s="107"/>
    </row>
    <row r="638" spans="8:9" x14ac:dyDescent="0.3">
      <c r="H638" s="109"/>
      <c r="I638" s="107"/>
    </row>
    <row r="639" spans="8:9" x14ac:dyDescent="0.3">
      <c r="H639" s="109"/>
      <c r="I639" s="107"/>
    </row>
    <row r="640" spans="8:9" x14ac:dyDescent="0.3">
      <c r="H640" s="109"/>
      <c r="I640" s="107"/>
    </row>
    <row r="641" spans="8:9" x14ac:dyDescent="0.3">
      <c r="H641" s="109"/>
      <c r="I641" s="107"/>
    </row>
    <row r="642" spans="8:9" x14ac:dyDescent="0.3">
      <c r="H642" s="109"/>
      <c r="I642" s="107"/>
    </row>
    <row r="643" spans="8:9" x14ac:dyDescent="0.3">
      <c r="H643" s="109"/>
      <c r="I643" s="107"/>
    </row>
    <row r="644" spans="8:9" x14ac:dyDescent="0.3">
      <c r="H644" s="109"/>
      <c r="I644" s="107"/>
    </row>
    <row r="645" spans="8:9" x14ac:dyDescent="0.3">
      <c r="H645" s="109"/>
      <c r="I645" s="107"/>
    </row>
    <row r="646" spans="8:9" x14ac:dyDescent="0.3">
      <c r="H646" s="109"/>
      <c r="I646" s="107"/>
    </row>
    <row r="647" spans="8:9" x14ac:dyDescent="0.3">
      <c r="H647" s="109"/>
      <c r="I647" s="107"/>
    </row>
    <row r="648" spans="8:9" x14ac:dyDescent="0.3">
      <c r="H648" s="109"/>
      <c r="I648" s="107"/>
    </row>
    <row r="649" spans="8:9" x14ac:dyDescent="0.3">
      <c r="H649" s="109"/>
      <c r="I649" s="107"/>
    </row>
    <row r="650" spans="8:9" x14ac:dyDescent="0.3">
      <c r="H650" s="109"/>
      <c r="I650" s="107"/>
    </row>
    <row r="651" spans="8:9" x14ac:dyDescent="0.3">
      <c r="H651" s="109"/>
      <c r="I651" s="107"/>
    </row>
    <row r="652" spans="8:9" x14ac:dyDescent="0.3">
      <c r="H652" s="109"/>
      <c r="I652" s="107"/>
    </row>
    <row r="653" spans="8:9" x14ac:dyDescent="0.3">
      <c r="H653" s="109"/>
      <c r="I653" s="107"/>
    </row>
    <row r="654" spans="8:9" x14ac:dyDescent="0.3">
      <c r="H654" s="109"/>
      <c r="I654" s="107"/>
    </row>
    <row r="655" spans="8:9" x14ac:dyDescent="0.3">
      <c r="H655" s="109"/>
      <c r="I655" s="107"/>
    </row>
    <row r="656" spans="8:9" x14ac:dyDescent="0.3">
      <c r="H656" s="109"/>
      <c r="I656" s="107"/>
    </row>
    <row r="657" spans="8:9" x14ac:dyDescent="0.3">
      <c r="H657" s="109"/>
      <c r="I657" s="107"/>
    </row>
    <row r="658" spans="8:9" x14ac:dyDescent="0.3">
      <c r="H658" s="109"/>
      <c r="I658" s="107"/>
    </row>
    <row r="659" spans="8:9" x14ac:dyDescent="0.3">
      <c r="H659" s="109"/>
      <c r="I659" s="107"/>
    </row>
    <row r="660" spans="8:9" x14ac:dyDescent="0.3">
      <c r="H660" s="109"/>
      <c r="I660" s="107"/>
    </row>
    <row r="661" spans="8:9" x14ac:dyDescent="0.3">
      <c r="H661" s="109"/>
      <c r="I661" s="107"/>
    </row>
    <row r="662" spans="8:9" x14ac:dyDescent="0.3">
      <c r="H662" s="109"/>
      <c r="I662" s="107"/>
    </row>
    <row r="663" spans="8:9" x14ac:dyDescent="0.3">
      <c r="H663" s="109"/>
      <c r="I663" s="107"/>
    </row>
    <row r="664" spans="8:9" x14ac:dyDescent="0.3">
      <c r="H664" s="109"/>
      <c r="I664" s="107"/>
    </row>
    <row r="665" spans="8:9" x14ac:dyDescent="0.3">
      <c r="H665" s="109"/>
      <c r="I665" s="107"/>
    </row>
    <row r="666" spans="8:9" x14ac:dyDescent="0.3">
      <c r="H666" s="109"/>
      <c r="I666" s="107"/>
    </row>
    <row r="667" spans="8:9" x14ac:dyDescent="0.3">
      <c r="H667" s="109"/>
      <c r="I667" s="107"/>
    </row>
    <row r="668" spans="8:9" x14ac:dyDescent="0.3">
      <c r="H668" s="109"/>
      <c r="I668" s="107"/>
    </row>
    <row r="669" spans="8:9" x14ac:dyDescent="0.3">
      <c r="H669" s="109"/>
      <c r="I669" s="107"/>
    </row>
    <row r="670" spans="8:9" x14ac:dyDescent="0.3">
      <c r="H670" s="109"/>
      <c r="I670" s="107"/>
    </row>
    <row r="671" spans="8:9" x14ac:dyDescent="0.3">
      <c r="H671" s="109"/>
      <c r="I671" s="107"/>
    </row>
    <row r="672" spans="8:9" x14ac:dyDescent="0.3">
      <c r="H672" s="109"/>
      <c r="I672" s="107"/>
    </row>
    <row r="673" spans="8:9" x14ac:dyDescent="0.3">
      <c r="H673" s="109"/>
      <c r="I673" s="107"/>
    </row>
    <row r="674" spans="8:9" x14ac:dyDescent="0.3">
      <c r="H674" s="109"/>
      <c r="I674" s="107"/>
    </row>
    <row r="675" spans="8:9" x14ac:dyDescent="0.3">
      <c r="H675" s="109"/>
      <c r="I675" s="107"/>
    </row>
    <row r="676" spans="8:9" x14ac:dyDescent="0.3">
      <c r="H676" s="109"/>
      <c r="I676" s="107"/>
    </row>
    <row r="677" spans="8:9" x14ac:dyDescent="0.3">
      <c r="H677" s="109"/>
      <c r="I677" s="107"/>
    </row>
    <row r="678" spans="8:9" x14ac:dyDescent="0.3">
      <c r="H678" s="109"/>
      <c r="I678" s="107"/>
    </row>
    <row r="679" spans="8:9" x14ac:dyDescent="0.3">
      <c r="H679" s="109"/>
      <c r="I679" s="107"/>
    </row>
    <row r="680" spans="8:9" x14ac:dyDescent="0.3">
      <c r="H680" s="109"/>
      <c r="I680" s="107"/>
    </row>
  </sheetData>
  <phoneticPr fontId="6" type="noConversion"/>
  <conditionalFormatting sqref="A1:J1048576">
    <cfRule type="expression" dxfId="14" priority="6">
      <formula>INDEX($A:$A,ROW())=0</formula>
    </cfRule>
    <cfRule type="expression" dxfId="13" priority="7">
      <formula>INDEX($B$1:$B$37,ROW())=0</formula>
    </cfRule>
  </conditionalFormatting>
  <conditionalFormatting sqref="G108">
    <cfRule type="expression" dxfId="12" priority="2">
      <formula>INDEX($B$1:$B$37,ROW())=0</formula>
    </cfRule>
  </conditionalFormatting>
  <conditionalFormatting sqref="A1:B1048576">
    <cfRule type="expression" dxfId="11" priority="12">
      <formula>INDIRECT(ADDRESS(ROW(),COLUMN()))=0</formula>
    </cfRule>
  </conditionalFormatting>
  <conditionalFormatting sqref="A1:B1">
    <cfRule type="expression" dxfId="10" priority="1">
      <formula>1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B4D6CB3A-688C-454A-8F59-FC6E7D04914B}">
            <xm:f>COUNTIF(Spots!$A:$A,INDIRECT(ADDRESS(ROW(),COLUMN())))=0</xm:f>
            <x14:dxf>
              <font>
                <color rgb="FF9C0000"/>
              </font>
              <fill>
                <patternFill patternType="solid">
                  <fgColor auto="1"/>
                  <bgColor rgb="FFFFC7CE"/>
                </patternFill>
              </fill>
            </x14:dxf>
          </x14:cfRule>
          <xm:sqref>A1:B1048576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49" yWindow="255" count="2">
        <x14:dataValidation type="list" allowBlank="1" showInputMessage="1" showErrorMessage="1" errorTitle="Spot Name NOT found" error="Please ddd this spot name to the list" prompt="Enter starting spot" xr:uid="{B0B0DE77-B859-4C06-A72A-30A1ED398E1A}">
          <x14:formula1>
            <xm:f>Spots!$A:$A</xm:f>
          </x14:formula1>
          <xm:sqref>A1:A37</xm:sqref>
        </x14:dataValidation>
        <x14:dataValidation type="list" allowBlank="1" showInputMessage="1" showErrorMessage="1" errorTitle="Spot Name NOT found" error="Please ddd this spot name to the list" prompt="Enter ending spot" xr:uid="{02C85DDE-4EA7-41B6-9042-F06C821A107D}">
          <x14:formula1>
            <xm:f>Spots!$A:$A</xm:f>
          </x14:formula1>
          <xm:sqref>B1:B37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V441"/>
  <sheetViews>
    <sheetView zoomScale="94" zoomScaleNormal="94" workbookViewId="0">
      <selection activeCell="B8" sqref="B8"/>
    </sheetView>
  </sheetViews>
  <sheetFormatPr defaultRowHeight="14.4" x14ac:dyDescent="0.3"/>
  <cols>
    <col min="1" max="1" width="13.109375" style="31" customWidth="1"/>
    <col min="2" max="2" width="9.109375" style="31"/>
    <col min="3" max="3" width="19.33203125" style="31" customWidth="1"/>
    <col min="4" max="4" width="12.5546875" style="3" customWidth="1"/>
    <col min="5" max="5" width="19.33203125" style="12" customWidth="1"/>
    <col min="6" max="6" width="11" style="12" customWidth="1"/>
    <col min="7" max="7" width="8.88671875" style="12" customWidth="1"/>
    <col min="8" max="14" width="8.88671875" style="3"/>
    <col min="15" max="15" width="8.88671875" style="12"/>
    <col min="16" max="16" width="8.88671875" style="3"/>
    <col min="17" max="17" width="11.77734375" style="3" customWidth="1"/>
    <col min="18" max="18" width="8.88671875" style="3"/>
    <col min="19" max="19" width="13.88671875" style="3" customWidth="1"/>
    <col min="20" max="25" width="8.88671875" style="3"/>
    <col min="26" max="26" width="8.88671875" style="126"/>
    <col min="27" max="29" width="8.88671875" style="127"/>
    <col min="30" max="16384" width="8.88671875" style="3"/>
  </cols>
  <sheetData>
    <row r="1" spans="1:29" x14ac:dyDescent="0.3">
      <c r="A1" s="124" t="s">
        <v>73</v>
      </c>
      <c r="B1" s="124" t="s">
        <v>74</v>
      </c>
      <c r="C1" s="124" t="s">
        <v>91</v>
      </c>
      <c r="E1" s="17"/>
      <c r="F1" s="17"/>
      <c r="G1" s="125"/>
      <c r="Z1" s="126" t="str" cm="1">
        <f t="array" ref="Z1">INDEX(Map!$B$2:$V$22,-Paths!AA1+11,Paths!AB1+11)</f>
        <v>Blank_1</v>
      </c>
      <c r="AA1" s="127">
        <f t="shared" ref="AA1:AA64" si="0">QUOTIENT(ROW(AB1)-1,21)-10</f>
        <v>-10</v>
      </c>
      <c r="AB1" s="127">
        <f t="shared" ref="AB1:AB64" si="1">MOD(ROW(AB1)-1,21)-10</f>
        <v>-10</v>
      </c>
      <c r="AC1" s="52" t="str">
        <f>AB1&amp;", "&amp;AA1</f>
        <v>-10, -10</v>
      </c>
    </row>
    <row r="2" spans="1:29" ht="14.4" customHeight="1" x14ac:dyDescent="0.3">
      <c r="A2" s="21" cm="1">
        <f t="array" ref="A2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2" s="21" cm="1">
        <f t="array" ref="B2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2" s="19" t="str" cm="1">
        <f t="array" ref="C2">IF(MOD(ROW(),3)=2,      INDEX(Maze!A:A,QUOTIENT(ROW()+1,3) + 1),
IF(MOD(ROW(),3)=0,         INDEX(Maze!B:B,QUOTIENT(ROW()+1,3) + 1),       0))</f>
        <v>Intro</v>
      </c>
      <c r="E2" s="18"/>
      <c r="F2" s="18"/>
      <c r="G2" s="18"/>
      <c r="Z2" s="126" cm="1">
        <f t="array" ref="Z2">INDEX(Map!$B$2:$V$22,-Paths!AA2+11,Paths!AB2+11)</f>
        <v>0</v>
      </c>
      <c r="AA2" s="127">
        <f t="shared" si="0"/>
        <v>-10</v>
      </c>
      <c r="AB2" s="127">
        <f t="shared" si="1"/>
        <v>-9</v>
      </c>
      <c r="AC2" s="52" t="str">
        <f t="shared" ref="AC2:AC65" si="2">AB2&amp;", "&amp;AA2</f>
        <v>-9, -10</v>
      </c>
    </row>
    <row r="3" spans="1:29" x14ac:dyDescent="0.3">
      <c r="A3" s="21" cm="1">
        <f t="array" ref="A3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3" s="21" cm="1">
        <f t="array" ref="B3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3" s="21" t="str" cm="1">
        <f t="array" ref="C3">IF(MOD(ROW(),3)=2,      INDEX(Maze!A:A,QUOTIENT(ROW()+1,3) + 1),
IF(MOD(ROW(),3)=0,         INDEX(Maze!B:B,QUOTIENT(ROW()+1,3) + 1),       0))</f>
        <v>Features</v>
      </c>
      <c r="E3" s="18"/>
      <c r="F3" s="18"/>
      <c r="G3" s="18"/>
      <c r="Z3" s="126" cm="1">
        <f t="array" ref="Z3">INDEX(Map!$B$2:$V$22,-Paths!AA3+11,Paths!AB3+11)</f>
        <v>0</v>
      </c>
      <c r="AA3" s="127">
        <f t="shared" si="0"/>
        <v>-10</v>
      </c>
      <c r="AB3" s="127">
        <f t="shared" si="1"/>
        <v>-8</v>
      </c>
      <c r="AC3" s="52" t="str">
        <f t="shared" si="2"/>
        <v>-8, -10</v>
      </c>
    </row>
    <row r="4" spans="1:29" x14ac:dyDescent="0.3">
      <c r="A4" s="32"/>
      <c r="B4" s="33"/>
      <c r="C4" s="32"/>
      <c r="E4" s="18"/>
      <c r="F4" s="18"/>
      <c r="G4" s="18"/>
      <c r="Z4" s="126" cm="1">
        <f t="array" ref="Z4">INDEX(Map!$B$2:$V$22,-Paths!AA4+11,Paths!AB4+11)</f>
        <v>0</v>
      </c>
      <c r="AA4" s="127">
        <f t="shared" si="0"/>
        <v>-10</v>
      </c>
      <c r="AB4" s="127">
        <f t="shared" si="1"/>
        <v>-7</v>
      </c>
      <c r="AC4" s="52" t="str">
        <f t="shared" si="2"/>
        <v>-7, -10</v>
      </c>
    </row>
    <row r="5" spans="1:29" x14ac:dyDescent="0.3">
      <c r="A5" s="21" cm="1">
        <f t="array" ref="A5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5" s="21" cm="1">
        <f t="array" ref="B5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5" s="19" t="str" cm="1">
        <f t="array" ref="C5">IF(MOD(ROW(),3)=2,      INDEX(Maze!A:A,QUOTIENT(ROW()+1,3) + 1),
IF(MOD(ROW(),3)=0,         INDEX(Maze!B:B,QUOTIENT(ROW()+1,3) + 1),       0))</f>
        <v>Features</v>
      </c>
      <c r="E5" s="18"/>
      <c r="F5" s="18"/>
      <c r="G5" s="18"/>
      <c r="Z5" s="126" cm="1">
        <f t="array" ref="Z5">INDEX(Map!$B$2:$V$22,-Paths!AA5+11,Paths!AB5+11)</f>
        <v>0</v>
      </c>
      <c r="AA5" s="127">
        <f t="shared" si="0"/>
        <v>-10</v>
      </c>
      <c r="AB5" s="127">
        <f t="shared" si="1"/>
        <v>-6</v>
      </c>
      <c r="AC5" s="52" t="str">
        <f t="shared" si="2"/>
        <v>-6, -10</v>
      </c>
    </row>
    <row r="6" spans="1:29" x14ac:dyDescent="0.3">
      <c r="A6" s="21" cm="1">
        <f t="array" ref="A6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6" s="21" cm="1">
        <f t="array" ref="B6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6" s="21" t="str" cm="1">
        <f t="array" ref="C6">IF(MOD(ROW(),3)=2,      INDEX(Maze!A:A,QUOTIENT(ROW()+1,3) + 1),
IF(MOD(ROW(),3)=0,         INDEX(Maze!B:B,QUOTIENT(ROW()+1,3) + 1),       0))</f>
        <v>Applications</v>
      </c>
      <c r="Z6" s="126" cm="1">
        <f t="array" ref="Z6">INDEX(Map!$B$2:$V$22,-Paths!AA6+11,Paths!AB6+11)</f>
        <v>0</v>
      </c>
      <c r="AA6" s="127">
        <f t="shared" si="0"/>
        <v>-10</v>
      </c>
      <c r="AB6" s="127">
        <f t="shared" si="1"/>
        <v>-5</v>
      </c>
      <c r="AC6" s="52" t="str">
        <f t="shared" si="2"/>
        <v>-5, -10</v>
      </c>
    </row>
    <row r="7" spans="1:29" x14ac:dyDescent="0.3">
      <c r="A7" s="32"/>
      <c r="B7" s="33"/>
      <c r="C7" s="32"/>
      <c r="Z7" s="126" cm="1">
        <f t="array" ref="Z7">INDEX(Map!$B$2:$V$22,-Paths!AA7+11,Paths!AB7+11)</f>
        <v>0</v>
      </c>
      <c r="AA7" s="127">
        <f t="shared" si="0"/>
        <v>-10</v>
      </c>
      <c r="AB7" s="127">
        <f t="shared" si="1"/>
        <v>-4</v>
      </c>
      <c r="AC7" s="52" t="str">
        <f t="shared" si="2"/>
        <v>-4, -10</v>
      </c>
    </row>
    <row r="8" spans="1:29" x14ac:dyDescent="0.3">
      <c r="A8" s="21" cm="1">
        <f t="array" ref="A8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8" s="21" cm="1">
        <f t="array" ref="B8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8" s="19" t="str" cm="1">
        <f t="array" ref="C8">IF(MOD(ROW(),3)=2,      INDEX(Maze!A:A,QUOTIENT(ROW()+1,3) + 1),
IF(MOD(ROW(),3)=0,         INDEX(Maze!B:B,QUOTIENT(ROW()+1,3) + 1),       0))</f>
        <v>Applications</v>
      </c>
      <c r="Z8" s="126" cm="1">
        <f t="array" ref="Z8">INDEX(Map!$B$2:$V$22,-Paths!AA8+11,Paths!AB8+11)</f>
        <v>0</v>
      </c>
      <c r="AA8" s="127">
        <f t="shared" si="0"/>
        <v>-10</v>
      </c>
      <c r="AB8" s="127">
        <f t="shared" si="1"/>
        <v>-3</v>
      </c>
      <c r="AC8" s="52" t="str">
        <f t="shared" si="2"/>
        <v>-3, -10</v>
      </c>
    </row>
    <row r="9" spans="1:29" x14ac:dyDescent="0.3">
      <c r="A9" s="21" cm="1">
        <f t="array" ref="A9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9" s="21" cm="1">
        <f t="array" ref="B9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9" s="21" t="str" cm="1">
        <f t="array" ref="C9">IF(MOD(ROW(),3)=2,      INDEX(Maze!A:A,QUOTIENT(ROW()+1,3) + 1),
IF(MOD(ROW(),3)=0,         INDEX(Maze!B:B,QUOTIENT(ROW()+1,3) + 1),       0))</f>
        <v>Benefits</v>
      </c>
      <c r="Z9" s="126" cm="1">
        <f t="array" ref="Z9">INDEX(Map!$B$2:$V$22,-Paths!AA9+11,Paths!AB9+11)</f>
        <v>0</v>
      </c>
      <c r="AA9" s="127">
        <f t="shared" si="0"/>
        <v>-10</v>
      </c>
      <c r="AB9" s="127">
        <f t="shared" si="1"/>
        <v>-2</v>
      </c>
      <c r="AC9" s="52" t="str">
        <f t="shared" si="2"/>
        <v>-2, -10</v>
      </c>
    </row>
    <row r="10" spans="1:29" x14ac:dyDescent="0.3">
      <c r="A10" s="32"/>
      <c r="B10" s="33"/>
      <c r="C10" s="32"/>
      <c r="Z10" s="126" cm="1">
        <f t="array" ref="Z10">INDEX(Map!$B$2:$V$22,-Paths!AA10+11,Paths!AB10+11)</f>
        <v>0</v>
      </c>
      <c r="AA10" s="127">
        <f t="shared" si="0"/>
        <v>-10</v>
      </c>
      <c r="AB10" s="127">
        <f t="shared" si="1"/>
        <v>-1</v>
      </c>
      <c r="AC10" s="52" t="str">
        <f t="shared" si="2"/>
        <v>-1, -10</v>
      </c>
    </row>
    <row r="11" spans="1:29" x14ac:dyDescent="0.3">
      <c r="A11" s="21" cm="1">
        <f t="array" ref="A11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11" s="21" cm="1">
        <f t="array" ref="B11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1" s="19" cm="1">
        <f t="array" ref="C11">IF(MOD(ROW(),3)=2,      INDEX(Maze!A:A,QUOTIENT(ROW()+1,3) + 1),
IF(MOD(ROW(),3)=0,         INDEX(Maze!B:B,QUOTIENT(ROW()+1,3) + 1),       0))</f>
        <v>0</v>
      </c>
      <c r="Z11" s="126" cm="1">
        <f t="array" ref="Z11">INDEX(Map!$B$2:$V$22,-Paths!AA11+11,Paths!AB11+11)</f>
        <v>0</v>
      </c>
      <c r="AA11" s="127">
        <f t="shared" si="0"/>
        <v>-10</v>
      </c>
      <c r="AB11" s="127">
        <f t="shared" si="1"/>
        <v>0</v>
      </c>
      <c r="AC11" s="52" t="str">
        <f t="shared" si="2"/>
        <v>0, -10</v>
      </c>
    </row>
    <row r="12" spans="1:29" x14ac:dyDescent="0.3">
      <c r="A12" s="21" cm="1">
        <f t="array" ref="A12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12" s="21" cm="1">
        <f t="array" ref="B12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2" s="21" cm="1">
        <f t="array" ref="C12">IF(MOD(ROW(),3)=2,      INDEX(Maze!A:A,QUOTIENT(ROW()+1,3) + 1),
IF(MOD(ROW(),3)=0,         INDEX(Maze!B:B,QUOTIENT(ROW()+1,3) + 1),       0))</f>
        <v>0</v>
      </c>
      <c r="Z12" s="126" cm="1">
        <f t="array" ref="Z12">INDEX(Map!$B$2:$V$22,-Paths!AA12+11,Paths!AB12+11)</f>
        <v>0</v>
      </c>
      <c r="AA12" s="127">
        <f t="shared" si="0"/>
        <v>-10</v>
      </c>
      <c r="AB12" s="127">
        <f t="shared" si="1"/>
        <v>1</v>
      </c>
      <c r="AC12" s="52" t="str">
        <f t="shared" si="2"/>
        <v>1, -10</v>
      </c>
    </row>
    <row r="13" spans="1:29" x14ac:dyDescent="0.3">
      <c r="A13" s="32"/>
      <c r="B13" s="33"/>
      <c r="C13" s="32"/>
      <c r="Z13" s="126" cm="1">
        <f t="array" ref="Z13">INDEX(Map!$B$2:$V$22,-Paths!AA13+11,Paths!AB13+11)</f>
        <v>0</v>
      </c>
      <c r="AA13" s="127">
        <f t="shared" si="0"/>
        <v>-10</v>
      </c>
      <c r="AB13" s="127">
        <f t="shared" si="1"/>
        <v>2</v>
      </c>
      <c r="AC13" s="52" t="str">
        <f t="shared" si="2"/>
        <v>2, -10</v>
      </c>
    </row>
    <row r="14" spans="1:29" x14ac:dyDescent="0.3">
      <c r="A14" s="21" cm="1">
        <f t="array" ref="A14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14" s="21" cm="1">
        <f t="array" ref="B14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4" s="19" t="str" cm="1">
        <f t="array" ref="C14">IF(MOD(ROW(),3)=2,      INDEX(Maze!A:A,QUOTIENT(ROW()+1,3) + 1),
IF(MOD(ROW(),3)=0,         INDEX(Maze!B:B,QUOTIENT(ROW()+1,3) + 1),       0))</f>
        <v>Features</v>
      </c>
      <c r="Z14" s="126" cm="1">
        <f t="array" ref="Z14">INDEX(Map!$B$2:$V$22,-Paths!AA14+11,Paths!AB14+11)</f>
        <v>0</v>
      </c>
      <c r="AA14" s="127">
        <f t="shared" si="0"/>
        <v>-10</v>
      </c>
      <c r="AB14" s="127">
        <f t="shared" si="1"/>
        <v>3</v>
      </c>
      <c r="AC14" s="52" t="str">
        <f t="shared" si="2"/>
        <v>3, -10</v>
      </c>
    </row>
    <row r="15" spans="1:29" x14ac:dyDescent="0.3">
      <c r="A15" s="21" cm="1">
        <f t="array" ref="A15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15" s="21" cm="1">
        <f t="array" ref="B15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1</v>
      </c>
      <c r="C15" s="21" t="str" cm="1">
        <f t="array" ref="C15">IF(MOD(ROW(),3)=2,      INDEX(Maze!A:A,QUOTIENT(ROW()+1,3) + 1),
IF(MOD(ROW(),3)=0,         INDEX(Maze!B:B,QUOTIENT(ROW()+1,3) + 1),       0))</f>
        <v>Feature1</v>
      </c>
      <c r="Z15" s="126" cm="1">
        <f t="array" ref="Z15">INDEX(Map!$B$2:$V$22,-Paths!AA15+11,Paths!AB15+11)</f>
        <v>0</v>
      </c>
      <c r="AA15" s="127">
        <f t="shared" si="0"/>
        <v>-10</v>
      </c>
      <c r="AB15" s="127">
        <f t="shared" si="1"/>
        <v>4</v>
      </c>
      <c r="AC15" s="52" t="str">
        <f t="shared" si="2"/>
        <v>4, -10</v>
      </c>
    </row>
    <row r="16" spans="1:29" x14ac:dyDescent="0.3">
      <c r="A16" s="32"/>
      <c r="B16" s="33"/>
      <c r="C16" s="32"/>
      <c r="Z16" s="126" cm="1">
        <f t="array" ref="Z16">INDEX(Map!$B$2:$V$22,-Paths!AA16+11,Paths!AB16+11)</f>
        <v>0</v>
      </c>
      <c r="AA16" s="127">
        <f t="shared" si="0"/>
        <v>-10</v>
      </c>
      <c r="AB16" s="127">
        <f t="shared" si="1"/>
        <v>5</v>
      </c>
      <c r="AC16" s="52" t="str">
        <f t="shared" si="2"/>
        <v>5, -10</v>
      </c>
    </row>
    <row r="17" spans="1:29" x14ac:dyDescent="0.3">
      <c r="A17" s="21" cm="1">
        <f t="array" ref="A17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17" s="21" cm="1">
        <f t="array" ref="B17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1</v>
      </c>
      <c r="C17" s="19" t="str" cm="1">
        <f t="array" ref="C17">IF(MOD(ROW(),3)=2,      INDEX(Maze!A:A,QUOTIENT(ROW()+1,3) + 1),
IF(MOD(ROW(),3)=0,         INDEX(Maze!B:B,QUOTIENT(ROW()+1,3) + 1),       0))</f>
        <v>Feature1</v>
      </c>
      <c r="Z17" s="126" cm="1">
        <f t="array" ref="Z17">INDEX(Map!$B$2:$V$22,-Paths!AA17+11,Paths!AB17+11)</f>
        <v>0</v>
      </c>
      <c r="AA17" s="127">
        <f t="shared" si="0"/>
        <v>-10</v>
      </c>
      <c r="AB17" s="127">
        <f t="shared" si="1"/>
        <v>6</v>
      </c>
      <c r="AC17" s="52" t="str">
        <f t="shared" si="2"/>
        <v>6, -10</v>
      </c>
    </row>
    <row r="18" spans="1:29" x14ac:dyDescent="0.3">
      <c r="A18" s="21" cm="1">
        <f t="array" ref="A18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18" s="21" cm="1">
        <f t="array" ref="B18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2</v>
      </c>
      <c r="C18" s="21" t="str" cm="1">
        <f t="array" ref="C18">IF(MOD(ROW(),3)=2,      INDEX(Maze!A:A,QUOTIENT(ROW()+1,3) + 1),
IF(MOD(ROW(),3)=0,         INDEX(Maze!B:B,QUOTIENT(ROW()+1,3) + 1),       0))</f>
        <v>Feature2</v>
      </c>
      <c r="Z18" s="126" cm="1">
        <f t="array" ref="Z18">INDEX(Map!$B$2:$V$22,-Paths!AA18+11,Paths!AB18+11)</f>
        <v>0</v>
      </c>
      <c r="AA18" s="127">
        <f t="shared" si="0"/>
        <v>-10</v>
      </c>
      <c r="AB18" s="127">
        <f t="shared" si="1"/>
        <v>7</v>
      </c>
      <c r="AC18" s="52" t="str">
        <f t="shared" si="2"/>
        <v>7, -10</v>
      </c>
    </row>
    <row r="19" spans="1:29" x14ac:dyDescent="0.3">
      <c r="A19" s="32"/>
      <c r="B19" s="33"/>
      <c r="C19" s="32"/>
      <c r="Z19" s="126" cm="1">
        <f t="array" ref="Z19">INDEX(Map!$B$2:$V$22,-Paths!AA19+11,Paths!AB19+11)</f>
        <v>0</v>
      </c>
      <c r="AA19" s="127">
        <f t="shared" si="0"/>
        <v>-10</v>
      </c>
      <c r="AB19" s="127">
        <f t="shared" si="1"/>
        <v>8</v>
      </c>
      <c r="AC19" s="52" t="str">
        <f t="shared" si="2"/>
        <v>8, -10</v>
      </c>
    </row>
    <row r="20" spans="1:29" x14ac:dyDescent="0.3">
      <c r="A20" s="21" cm="1">
        <f t="array" ref="A20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20" s="21" cm="1">
        <f t="array" ref="B20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2</v>
      </c>
      <c r="C20" s="19" t="str" cm="1">
        <f t="array" ref="C20">IF(MOD(ROW(),3)=2,      INDEX(Maze!A:A,QUOTIENT(ROW()+1,3) + 1),
IF(MOD(ROW(),3)=0,         INDEX(Maze!B:B,QUOTIENT(ROW()+1,3) + 1),       0))</f>
        <v>Feature2</v>
      </c>
      <c r="Z20" s="126" cm="1">
        <f t="array" ref="Z20">INDEX(Map!$B$2:$V$22,-Paths!AA20+11,Paths!AB20+11)</f>
        <v>0</v>
      </c>
      <c r="AA20" s="127">
        <f t="shared" si="0"/>
        <v>-10</v>
      </c>
      <c r="AB20" s="127">
        <f t="shared" si="1"/>
        <v>9</v>
      </c>
      <c r="AC20" s="52" t="str">
        <f t="shared" si="2"/>
        <v>9, -10</v>
      </c>
    </row>
    <row r="21" spans="1:29" x14ac:dyDescent="0.3">
      <c r="A21" s="21" cm="1">
        <f t="array" ref="A21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21" s="21" cm="1">
        <f t="array" ref="B21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3</v>
      </c>
      <c r="C21" s="21" t="str" cm="1">
        <f t="array" ref="C21">IF(MOD(ROW(),3)=2,      INDEX(Maze!A:A,QUOTIENT(ROW()+1,3) + 1),
IF(MOD(ROW(),3)=0,         INDEX(Maze!B:B,QUOTIENT(ROW()+1,3) + 1),       0))</f>
        <v>Feature3</v>
      </c>
      <c r="Z21" s="126" t="str" cm="1">
        <f t="array" ref="Z21">INDEX(Map!$B$2:$V$22,-Paths!AA21+11,Paths!AB21+11)</f>
        <v>Blank_2</v>
      </c>
      <c r="AA21" s="127">
        <f t="shared" si="0"/>
        <v>-10</v>
      </c>
      <c r="AB21" s="127">
        <f t="shared" si="1"/>
        <v>10</v>
      </c>
      <c r="AC21" s="52" t="str">
        <f t="shared" si="2"/>
        <v>10, -10</v>
      </c>
    </row>
    <row r="22" spans="1:29" x14ac:dyDescent="0.3">
      <c r="A22" s="32"/>
      <c r="B22" s="33"/>
      <c r="C22" s="32"/>
      <c r="Z22" s="126" cm="1">
        <f t="array" ref="Z22">INDEX(Map!$B$2:$V$22,-Paths!AA22+11,Paths!AB22+11)</f>
        <v>0</v>
      </c>
      <c r="AA22" s="127">
        <f t="shared" si="0"/>
        <v>-9</v>
      </c>
      <c r="AB22" s="127">
        <f t="shared" si="1"/>
        <v>-10</v>
      </c>
      <c r="AC22" s="52" t="str">
        <f t="shared" si="2"/>
        <v>-10, -9</v>
      </c>
    </row>
    <row r="23" spans="1:29" x14ac:dyDescent="0.3">
      <c r="A23" s="21" cm="1">
        <f t="array" ref="A23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23" s="21" cm="1">
        <f t="array" ref="B23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3</v>
      </c>
      <c r="C23" s="19" t="str" cm="1">
        <f t="array" ref="C23">IF(MOD(ROW(),3)=2,      INDEX(Maze!A:A,QUOTIENT(ROW()+1,3) + 1),
IF(MOD(ROW(),3)=0,         INDEX(Maze!B:B,QUOTIENT(ROW()+1,3) + 1),       0))</f>
        <v>Feature3</v>
      </c>
      <c r="Z23" s="126" cm="1">
        <f t="array" ref="Z23">INDEX(Map!$B$2:$V$22,-Paths!AA23+11,Paths!AB23+11)</f>
        <v>0</v>
      </c>
      <c r="AA23" s="127">
        <f t="shared" si="0"/>
        <v>-9</v>
      </c>
      <c r="AB23" s="127">
        <f t="shared" si="1"/>
        <v>-9</v>
      </c>
      <c r="AC23" s="52" t="str">
        <f t="shared" si="2"/>
        <v>-9, -9</v>
      </c>
    </row>
    <row r="24" spans="1:29" x14ac:dyDescent="0.3">
      <c r="A24" s="21" cm="1">
        <f t="array" ref="A24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24" s="21" cm="1">
        <f t="array" ref="B24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4</v>
      </c>
      <c r="C24" s="21" t="str" cm="1">
        <f t="array" ref="C24">IF(MOD(ROW(),3)=2,      INDEX(Maze!A:A,QUOTIENT(ROW()+1,3) + 1),
IF(MOD(ROW(),3)=0,         INDEX(Maze!B:B,QUOTIENT(ROW()+1,3) + 1),       0))</f>
        <v>Feature4</v>
      </c>
      <c r="Z24" s="126" cm="1">
        <f t="array" ref="Z24">INDEX(Map!$B$2:$V$22,-Paths!AA24+11,Paths!AB24+11)</f>
        <v>0</v>
      </c>
      <c r="AA24" s="127">
        <f t="shared" si="0"/>
        <v>-9</v>
      </c>
      <c r="AB24" s="127">
        <f t="shared" si="1"/>
        <v>-8</v>
      </c>
      <c r="AC24" s="52" t="str">
        <f t="shared" si="2"/>
        <v>-8, -9</v>
      </c>
    </row>
    <row r="25" spans="1:29" x14ac:dyDescent="0.3">
      <c r="A25" s="32"/>
      <c r="B25" s="33"/>
      <c r="C25" s="32"/>
      <c r="Z25" s="126" cm="1">
        <f t="array" ref="Z25">INDEX(Map!$B$2:$V$22,-Paths!AA25+11,Paths!AB25+11)</f>
        <v>0</v>
      </c>
      <c r="AA25" s="127">
        <f t="shared" si="0"/>
        <v>-9</v>
      </c>
      <c r="AB25" s="127">
        <f t="shared" si="1"/>
        <v>-7</v>
      </c>
      <c r="AC25" s="52" t="str">
        <f t="shared" si="2"/>
        <v>-7, -9</v>
      </c>
    </row>
    <row r="26" spans="1:29" x14ac:dyDescent="0.3">
      <c r="A26" s="21" cm="1">
        <f t="array" ref="A26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26" s="21" cm="1">
        <f t="array" ref="B26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4</v>
      </c>
      <c r="C26" s="19" t="str" cm="1">
        <f t="array" ref="C26">IF(MOD(ROW(),3)=2,      INDEX(Maze!A:A,QUOTIENT(ROW()+1,3) + 1),
IF(MOD(ROW(),3)=0,         INDEX(Maze!B:B,QUOTIENT(ROW()+1,3) + 1),       0))</f>
        <v>Feature4</v>
      </c>
      <c r="Z26" s="126" cm="1">
        <f t="array" ref="Z26">INDEX(Map!$B$2:$V$22,-Paths!AA26+11,Paths!AB26+11)</f>
        <v>0</v>
      </c>
      <c r="AA26" s="127">
        <f t="shared" si="0"/>
        <v>-9</v>
      </c>
      <c r="AB26" s="127">
        <f t="shared" si="1"/>
        <v>-6</v>
      </c>
      <c r="AC26" s="52" t="str">
        <f t="shared" si="2"/>
        <v>-6, -9</v>
      </c>
    </row>
    <row r="27" spans="1:29" x14ac:dyDescent="0.3">
      <c r="A27" s="21" cm="1">
        <f t="array" ref="A27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27" s="21" cm="1">
        <f t="array" ref="B27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5</v>
      </c>
      <c r="C27" s="21" t="str" cm="1">
        <f t="array" ref="C27">IF(MOD(ROW(),3)=2,      INDEX(Maze!A:A,QUOTIENT(ROW()+1,3) + 1),
IF(MOD(ROW(),3)=0,         INDEX(Maze!B:B,QUOTIENT(ROW()+1,3) + 1),       0))</f>
        <v>Feature5</v>
      </c>
      <c r="Z27" s="126" cm="1">
        <f t="array" ref="Z27">INDEX(Map!$B$2:$V$22,-Paths!AA27+11,Paths!AB27+11)</f>
        <v>0</v>
      </c>
      <c r="AA27" s="127">
        <f t="shared" si="0"/>
        <v>-9</v>
      </c>
      <c r="AB27" s="127">
        <f t="shared" si="1"/>
        <v>-5</v>
      </c>
      <c r="AC27" s="52" t="str">
        <f t="shared" si="2"/>
        <v>-5, -9</v>
      </c>
    </row>
    <row r="28" spans="1:29" ht="15" thickBot="1" x14ac:dyDescent="0.35">
      <c r="A28" s="32"/>
      <c r="B28" s="33"/>
      <c r="C28" s="32"/>
      <c r="Z28" s="126" cm="1">
        <f t="array" ref="Z28">INDEX(Map!$B$2:$V$22,-Paths!AA28+11,Paths!AB28+11)</f>
        <v>0</v>
      </c>
      <c r="AA28" s="127">
        <f t="shared" si="0"/>
        <v>-9</v>
      </c>
      <c r="AB28" s="127">
        <f t="shared" si="1"/>
        <v>-4</v>
      </c>
      <c r="AC28" s="52" t="str">
        <f t="shared" si="2"/>
        <v>-4, -9</v>
      </c>
    </row>
    <row r="29" spans="1:29" x14ac:dyDescent="0.3">
      <c r="A29" s="21" cm="1">
        <f t="array" ref="A29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29" s="21" cm="1">
        <f t="array" ref="B29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5</v>
      </c>
      <c r="C29" s="19" t="str" cm="1">
        <f t="array" ref="C29">IF(MOD(ROW(),3)=2,      INDEX(Maze!A:A,QUOTIENT(ROW()+1,3) + 1),
IF(MOD(ROW(),3)=0,         INDEX(Maze!B:B,QUOTIENT(ROW()+1,3) + 1),       0))</f>
        <v>Feature5</v>
      </c>
      <c r="D29" s="184" t="s">
        <v>109</v>
      </c>
      <c r="Z29" s="126" cm="1">
        <f t="array" ref="Z29">INDEX(Map!$B$2:$V$22,-Paths!AA29+11,Paths!AB29+11)</f>
        <v>0</v>
      </c>
      <c r="AA29" s="127">
        <f t="shared" si="0"/>
        <v>-9</v>
      </c>
      <c r="AB29" s="127">
        <f t="shared" si="1"/>
        <v>-3</v>
      </c>
      <c r="AC29" s="52" t="str">
        <f t="shared" si="2"/>
        <v>-3, -9</v>
      </c>
    </row>
    <row r="30" spans="1:29" x14ac:dyDescent="0.3">
      <c r="A30" s="21" cm="1">
        <f t="array" ref="A30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</v>
      </c>
      <c r="B30" s="21" cm="1">
        <f t="array" ref="B30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6</v>
      </c>
      <c r="C30" s="21" t="str" cm="1">
        <f t="array" ref="C30">IF(MOD(ROW(),3)=2,      INDEX(Maze!A:A,QUOTIENT(ROW()+1,3) + 1),
IF(MOD(ROW(),3)=0,         INDEX(Maze!B:B,QUOTIENT(ROW()+1,3) + 1),       0))</f>
        <v>Feature6</v>
      </c>
      <c r="D30" s="185"/>
      <c r="Z30" s="126" cm="1">
        <f t="array" ref="Z30">INDEX(Map!$B$2:$V$22,-Paths!AA30+11,Paths!AB30+11)</f>
        <v>0</v>
      </c>
      <c r="AA30" s="127">
        <f t="shared" si="0"/>
        <v>-9</v>
      </c>
      <c r="AB30" s="127">
        <f t="shared" si="1"/>
        <v>-2</v>
      </c>
      <c r="AC30" s="52" t="str">
        <f t="shared" si="2"/>
        <v>-2, -9</v>
      </c>
    </row>
    <row r="31" spans="1:29" ht="15" thickBot="1" x14ac:dyDescent="0.35">
      <c r="A31" s="32"/>
      <c r="B31" s="33"/>
      <c r="C31" s="32"/>
      <c r="D31" s="186"/>
      <c r="Z31" s="126" cm="1">
        <f t="array" ref="Z31">INDEX(Map!$B$2:$V$22,-Paths!AA31+11,Paths!AB31+11)</f>
        <v>0</v>
      </c>
      <c r="AA31" s="127">
        <f t="shared" si="0"/>
        <v>-9</v>
      </c>
      <c r="AB31" s="127">
        <f t="shared" si="1"/>
        <v>-1</v>
      </c>
      <c r="AC31" s="52" t="str">
        <f t="shared" si="2"/>
        <v>-1, -9</v>
      </c>
    </row>
    <row r="32" spans="1:29" x14ac:dyDescent="0.3">
      <c r="A32" s="21" cm="1">
        <f t="array" ref="A32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32" s="21" cm="1">
        <f t="array" ref="B32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32" s="19" cm="1">
        <f t="array" ref="C32">IF(MOD(ROW(),3)=2,      INDEX(Maze!A:A,QUOTIENT(ROW()+1,3) + 1),
IF(MOD(ROW(),3)=0,         INDEX(Maze!B:B,QUOTIENT(ROW()+1,3) + 1),       0))</f>
        <v>0</v>
      </c>
      <c r="Z32" s="126" cm="1">
        <f t="array" ref="Z32">INDEX(Map!$B$2:$V$22,-Paths!AA32+11,Paths!AB32+11)</f>
        <v>0</v>
      </c>
      <c r="AA32" s="127">
        <f t="shared" si="0"/>
        <v>-9</v>
      </c>
      <c r="AB32" s="127">
        <f t="shared" si="1"/>
        <v>0</v>
      </c>
      <c r="AC32" s="52" t="str">
        <f t="shared" si="2"/>
        <v>0, -9</v>
      </c>
    </row>
    <row r="33" spans="1:48" x14ac:dyDescent="0.3">
      <c r="A33" s="21" cm="1">
        <f t="array" ref="A33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33" s="21" cm="1">
        <f t="array" ref="B33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33" s="21" cm="1">
        <f t="array" ref="C33">IF(MOD(ROW(),3)=2,      INDEX(Maze!A:A,QUOTIENT(ROW()+1,3) + 1),
IF(MOD(ROW(),3)=0,         INDEX(Maze!B:B,QUOTIENT(ROW()+1,3) + 1),       0))</f>
        <v>0</v>
      </c>
      <c r="Z33" s="126" cm="1">
        <f t="array" ref="Z33">INDEX(Map!$B$2:$V$22,-Paths!AA33+11,Paths!AB33+11)</f>
        <v>0</v>
      </c>
      <c r="AA33" s="127">
        <f t="shared" si="0"/>
        <v>-9</v>
      </c>
      <c r="AB33" s="127">
        <f t="shared" si="1"/>
        <v>1</v>
      </c>
      <c r="AC33" s="52" t="str">
        <f t="shared" si="2"/>
        <v>1, -9</v>
      </c>
    </row>
    <row r="34" spans="1:48" x14ac:dyDescent="0.3">
      <c r="A34" s="32"/>
      <c r="B34" s="33"/>
      <c r="C34" s="32"/>
      <c r="Z34" s="126" cm="1">
        <f t="array" ref="Z34">INDEX(Map!$B$2:$V$22,-Paths!AA34+11,Paths!AB34+11)</f>
        <v>0</v>
      </c>
      <c r="AA34" s="127">
        <f t="shared" si="0"/>
        <v>-9</v>
      </c>
      <c r="AB34" s="127">
        <f t="shared" si="1"/>
        <v>2</v>
      </c>
      <c r="AC34" s="52" t="str">
        <f t="shared" si="2"/>
        <v>2, -9</v>
      </c>
    </row>
    <row r="35" spans="1:48" x14ac:dyDescent="0.3">
      <c r="A35" s="21" cm="1">
        <f t="array" ref="A35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35" s="21" cm="1">
        <f t="array" ref="B35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35" s="19" t="str" cm="1">
        <f t="array" ref="C35">IF(MOD(ROW(),3)=2,      INDEX(Maze!A:A,QUOTIENT(ROW()+1,3) + 1),
IF(MOD(ROW(),3)=0,         INDEX(Maze!B:B,QUOTIENT(ROW()+1,3) + 1),       0))</f>
        <v>Applications</v>
      </c>
      <c r="Z35" s="126" cm="1">
        <f t="array" ref="Z35">INDEX(Map!$B$2:$V$22,-Paths!AA35+11,Paths!AB35+11)</f>
        <v>0</v>
      </c>
      <c r="AA35" s="127">
        <f t="shared" si="0"/>
        <v>-9</v>
      </c>
      <c r="AB35" s="127">
        <f t="shared" si="1"/>
        <v>3</v>
      </c>
      <c r="AC35" s="52" t="str">
        <f t="shared" si="2"/>
        <v>3, -9</v>
      </c>
    </row>
    <row r="36" spans="1:48" x14ac:dyDescent="0.3">
      <c r="A36" s="21" cm="1">
        <f t="array" ref="A36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36" s="21" cm="1">
        <f t="array" ref="B36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</v>
      </c>
      <c r="C36" s="21" t="str" cm="1">
        <f t="array" ref="C36">IF(MOD(ROW(),3)=2,      INDEX(Maze!A:A,QUOTIENT(ROW()+1,3) + 1),
IF(MOD(ROW(),3)=0,         INDEX(Maze!B:B,QUOTIENT(ROW()+1,3) + 1),       0))</f>
        <v>Application1</v>
      </c>
      <c r="Z36" s="126" cm="1">
        <f t="array" ref="Z36">INDEX(Map!$B$2:$V$22,-Paths!AA36+11,Paths!AB36+11)</f>
        <v>0</v>
      </c>
      <c r="AA36" s="127">
        <f t="shared" si="0"/>
        <v>-9</v>
      </c>
      <c r="AB36" s="127">
        <f t="shared" si="1"/>
        <v>4</v>
      </c>
      <c r="AC36" s="52" t="str">
        <f t="shared" si="2"/>
        <v>4, -9</v>
      </c>
    </row>
    <row r="37" spans="1:48" x14ac:dyDescent="0.3">
      <c r="A37" s="32"/>
      <c r="B37" s="33"/>
      <c r="C37" s="32"/>
      <c r="Z37" s="126" cm="1">
        <f t="array" ref="Z37">INDEX(Map!$B$2:$V$22,-Paths!AA37+11,Paths!AB37+11)</f>
        <v>0</v>
      </c>
      <c r="AA37" s="127">
        <f t="shared" si="0"/>
        <v>-9</v>
      </c>
      <c r="AB37" s="127">
        <f t="shared" si="1"/>
        <v>5</v>
      </c>
      <c r="AC37" s="52" t="str">
        <f t="shared" si="2"/>
        <v>5, -9</v>
      </c>
    </row>
    <row r="38" spans="1:48" x14ac:dyDescent="0.3">
      <c r="A38" s="21" cm="1">
        <f t="array" ref="A38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38" s="21" cm="1">
        <f t="array" ref="B38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</v>
      </c>
      <c r="C38" s="19" t="str" cm="1">
        <f t="array" ref="C38">IF(MOD(ROW(),3)=2,      INDEX(Maze!A:A,QUOTIENT(ROW()+1,3) + 1),
IF(MOD(ROW(),3)=0,         INDEX(Maze!B:B,QUOTIENT(ROW()+1,3) + 1),       0))</f>
        <v>Application1</v>
      </c>
      <c r="Z38" s="126" cm="1">
        <f t="array" ref="Z38">INDEX(Map!$B$2:$V$22,-Paths!AA38+11,Paths!AB38+11)</f>
        <v>0</v>
      </c>
      <c r="AA38" s="127">
        <f t="shared" si="0"/>
        <v>-9</v>
      </c>
      <c r="AB38" s="127">
        <f t="shared" si="1"/>
        <v>6</v>
      </c>
      <c r="AC38" s="52" t="str">
        <f t="shared" si="2"/>
        <v>6, -9</v>
      </c>
    </row>
    <row r="39" spans="1:48" x14ac:dyDescent="0.3">
      <c r="A39" s="21" cm="1">
        <f t="array" ref="A39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39" s="21" cm="1">
        <f t="array" ref="B39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-2</v>
      </c>
      <c r="C39" s="21" t="str" cm="1">
        <f t="array" ref="C39">IF(MOD(ROW(),3)=2,      INDEX(Maze!A:A,QUOTIENT(ROW()+1,3) + 1),
IF(MOD(ROW(),3)=0,         INDEX(Maze!B:B,QUOTIENT(ROW()+1,3) + 1),       0))</f>
        <v>Application2</v>
      </c>
      <c r="Z39" s="126" cm="1">
        <f t="array" ref="Z39">INDEX(Map!$B$2:$V$22,-Paths!AA39+11,Paths!AB39+11)</f>
        <v>0</v>
      </c>
      <c r="AA39" s="127">
        <f t="shared" si="0"/>
        <v>-9</v>
      </c>
      <c r="AB39" s="127">
        <f t="shared" si="1"/>
        <v>7</v>
      </c>
      <c r="AC39" s="52" t="str">
        <f t="shared" si="2"/>
        <v>7, -9</v>
      </c>
    </row>
    <row r="40" spans="1:48" x14ac:dyDescent="0.3">
      <c r="A40" s="32"/>
      <c r="B40" s="33"/>
      <c r="C40" s="32"/>
      <c r="Z40" s="126" cm="1">
        <f t="array" ref="Z40">INDEX(Map!$B$2:$V$22,-Paths!AA40+11,Paths!AB40+11)</f>
        <v>0</v>
      </c>
      <c r="AA40" s="127">
        <f t="shared" si="0"/>
        <v>-9</v>
      </c>
      <c r="AB40" s="127">
        <f t="shared" si="1"/>
        <v>8</v>
      </c>
      <c r="AC40" s="52" t="str">
        <f t="shared" si="2"/>
        <v>8, -9</v>
      </c>
    </row>
    <row r="41" spans="1:48" x14ac:dyDescent="0.3">
      <c r="A41" s="21" cm="1">
        <f t="array" ref="A41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41" s="21" cm="1">
        <f t="array" ref="B41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-2</v>
      </c>
      <c r="C41" s="19" t="str" cm="1">
        <f t="array" ref="C41">IF(MOD(ROW(),3)=2,      INDEX(Maze!A:A,QUOTIENT(ROW()+1,3) + 1),
IF(MOD(ROW(),3)=0,         INDEX(Maze!B:B,QUOTIENT(ROW()+1,3) + 1),       0))</f>
        <v>Application2</v>
      </c>
      <c r="Z41" s="126" cm="1">
        <f t="array" ref="Z41">INDEX(Map!$B$2:$V$22,-Paths!AA41+11,Paths!AB41+11)</f>
        <v>0</v>
      </c>
      <c r="AA41" s="127">
        <f t="shared" si="0"/>
        <v>-9</v>
      </c>
      <c r="AB41" s="127">
        <f t="shared" si="1"/>
        <v>9</v>
      </c>
      <c r="AC41" s="52" t="str">
        <f t="shared" si="2"/>
        <v>9, -9</v>
      </c>
    </row>
    <row r="42" spans="1:48" x14ac:dyDescent="0.3">
      <c r="A42" s="21" cm="1">
        <f t="array" ref="A42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42" s="21" cm="1">
        <f t="array" ref="B42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-3</v>
      </c>
      <c r="C42" s="21" t="str" cm="1">
        <f t="array" ref="C42">IF(MOD(ROW(),3)=2,      INDEX(Maze!A:A,QUOTIENT(ROW()+1,3) + 1),
IF(MOD(ROW(),3)=0,         INDEX(Maze!B:B,QUOTIENT(ROW()+1,3) + 1),       0))</f>
        <v>Application3</v>
      </c>
      <c r="Z42" s="126" cm="1">
        <f t="array" ref="Z42">INDEX(Map!$B$2:$V$22,-Paths!AA42+11,Paths!AB42+11)</f>
        <v>0</v>
      </c>
      <c r="AA42" s="127">
        <f t="shared" si="0"/>
        <v>-9</v>
      </c>
      <c r="AB42" s="127">
        <f t="shared" si="1"/>
        <v>10</v>
      </c>
      <c r="AC42" s="52" t="str">
        <f t="shared" si="2"/>
        <v>10, -9</v>
      </c>
    </row>
    <row r="43" spans="1:48" x14ac:dyDescent="0.3">
      <c r="A43" s="32"/>
      <c r="B43" s="33"/>
      <c r="C43" s="32"/>
      <c r="Z43" s="126" cm="1">
        <f t="array" ref="Z43">INDEX(Map!$B$2:$V$22,-Paths!AA43+11,Paths!AB43+11)</f>
        <v>0</v>
      </c>
      <c r="AA43" s="127">
        <f t="shared" si="0"/>
        <v>-8</v>
      </c>
      <c r="AB43" s="127">
        <f t="shared" si="1"/>
        <v>-10</v>
      </c>
      <c r="AC43" s="52" t="str">
        <f t="shared" si="2"/>
        <v>-10, -8</v>
      </c>
    </row>
    <row r="44" spans="1:48" x14ac:dyDescent="0.3">
      <c r="A44" s="21" cm="1">
        <f t="array" ref="A44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44" s="21" cm="1">
        <f t="array" ref="B44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-3</v>
      </c>
      <c r="C44" s="19" t="str" cm="1">
        <f t="array" ref="C44">IF(MOD(ROW(),3)=2,      INDEX(Maze!A:A,QUOTIENT(ROW()+1,3) + 1),
IF(MOD(ROW(),3)=0,         INDEX(Maze!B:B,QUOTIENT(ROW()+1,3) + 1),       0))</f>
        <v>Application3</v>
      </c>
      <c r="Z44" s="126" cm="1">
        <f t="array" ref="Z44">INDEX(Map!$B$2:$V$22,-Paths!AA44+11,Paths!AB44+11)</f>
        <v>0</v>
      </c>
      <c r="AA44" s="127">
        <f t="shared" si="0"/>
        <v>-8</v>
      </c>
      <c r="AB44" s="127">
        <f t="shared" si="1"/>
        <v>-9</v>
      </c>
      <c r="AC44" s="52" t="str">
        <f t="shared" si="2"/>
        <v>-9, -8</v>
      </c>
    </row>
    <row r="45" spans="1:48" x14ac:dyDescent="0.3">
      <c r="A45" s="21" cm="1">
        <f t="array" ref="A45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45" s="21" cm="1">
        <f t="array" ref="B45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-4</v>
      </c>
      <c r="C45" s="21" t="str" cm="1">
        <f t="array" ref="C45">IF(MOD(ROW(),3)=2,      INDEX(Maze!A:A,QUOTIENT(ROW()+1,3) + 1),
IF(MOD(ROW(),3)=0,         INDEX(Maze!B:B,QUOTIENT(ROW()+1,3) + 1),       0))</f>
        <v>Application4</v>
      </c>
      <c r="Z45" s="126" cm="1">
        <f t="array" ref="Z45">INDEX(Map!$B$2:$V$22,-Paths!AA45+11,Paths!AB45+11)</f>
        <v>0</v>
      </c>
      <c r="AA45" s="127">
        <f t="shared" si="0"/>
        <v>-8</v>
      </c>
      <c r="AB45" s="127">
        <f t="shared" si="1"/>
        <v>-8</v>
      </c>
      <c r="AC45" s="52" t="str">
        <f t="shared" si="2"/>
        <v>-8, -8</v>
      </c>
    </row>
    <row r="46" spans="1:48" x14ac:dyDescent="0.3">
      <c r="A46" s="32"/>
      <c r="B46" s="33"/>
      <c r="C46" s="32"/>
      <c r="Z46" s="126" cm="1">
        <f t="array" ref="Z46">INDEX(Map!$B$2:$V$22,-Paths!AA46+11,Paths!AB46+11)</f>
        <v>0</v>
      </c>
      <c r="AA46" s="127">
        <f t="shared" si="0"/>
        <v>-8</v>
      </c>
      <c r="AB46" s="127">
        <f t="shared" si="1"/>
        <v>-7</v>
      </c>
      <c r="AC46" s="52" t="str">
        <f t="shared" si="2"/>
        <v>-7, -8</v>
      </c>
    </row>
    <row r="47" spans="1:48" x14ac:dyDescent="0.3">
      <c r="A47" s="21" cm="1">
        <f t="array" ref="A47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47" s="21" cm="1">
        <f t="array" ref="B47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-4</v>
      </c>
      <c r="C47" s="19" t="str" cm="1">
        <f t="array" ref="C47">IF(MOD(ROW(),3)=2,      INDEX(Maze!A:A,QUOTIENT(ROW()+1,3) + 1),
IF(MOD(ROW(),3)=0,         INDEX(Maze!B:B,QUOTIENT(ROW()+1,3) + 1),       0))</f>
        <v>Application4</v>
      </c>
      <c r="Z47" s="126" cm="1">
        <f t="array" ref="Z47">INDEX(Map!$B$2:$V$22,-Paths!AA47+11,Paths!AB47+11)</f>
        <v>0</v>
      </c>
      <c r="AA47" s="127">
        <f t="shared" si="0"/>
        <v>-8</v>
      </c>
      <c r="AB47" s="127">
        <f t="shared" si="1"/>
        <v>-6</v>
      </c>
      <c r="AC47" s="52" t="str">
        <f t="shared" si="2"/>
        <v>-6, -8</v>
      </c>
    </row>
    <row r="48" spans="1:48" x14ac:dyDescent="0.3">
      <c r="A48" s="21" cm="1">
        <f t="array" ref="A48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48" s="21" cm="1">
        <f t="array" ref="B48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-5</v>
      </c>
      <c r="C48" s="21" t="str" cm="1">
        <f t="array" ref="C48">IF(MOD(ROW(),3)=2,      INDEX(Maze!A:A,QUOTIENT(ROW()+1,3) + 1),
IF(MOD(ROW(),3)=0,         INDEX(Maze!B:B,QUOTIENT(ROW()+1,3) + 1),       0))</f>
        <v>Application5</v>
      </c>
      <c r="Z48" s="126" cm="1">
        <f t="array" ref="Z48">INDEX(Map!$B$2:$V$22,-Paths!AA48+11,Paths!AB48+11)</f>
        <v>0</v>
      </c>
      <c r="AA48" s="127">
        <f t="shared" si="0"/>
        <v>-8</v>
      </c>
      <c r="AB48" s="127">
        <f t="shared" si="1"/>
        <v>-5</v>
      </c>
      <c r="AC48" s="52" t="str">
        <f t="shared" si="2"/>
        <v>-5, -8</v>
      </c>
      <c r="AV48" s="3">
        <v>1</v>
      </c>
    </row>
    <row r="49" spans="1:29" x14ac:dyDescent="0.3">
      <c r="A49" s="32"/>
      <c r="B49" s="33"/>
      <c r="C49" s="32"/>
      <c r="Z49" s="126" cm="1">
        <f t="array" ref="Z49">INDEX(Map!$B$2:$V$22,-Paths!AA49+11,Paths!AB49+11)</f>
        <v>0</v>
      </c>
      <c r="AA49" s="127">
        <f t="shared" si="0"/>
        <v>-8</v>
      </c>
      <c r="AB49" s="127">
        <f t="shared" si="1"/>
        <v>-4</v>
      </c>
      <c r="AC49" s="52" t="str">
        <f t="shared" si="2"/>
        <v>-4, -8</v>
      </c>
    </row>
    <row r="50" spans="1:29" x14ac:dyDescent="0.3">
      <c r="A50" s="21" cm="1">
        <f t="array" ref="A50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50" s="21" cm="1">
        <f t="array" ref="B50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-5</v>
      </c>
      <c r="C50" s="19" t="str" cm="1">
        <f t="array" ref="C50">IF(MOD(ROW(),3)=2,      INDEX(Maze!A:A,QUOTIENT(ROW()+1,3) + 1),
IF(MOD(ROW(),3)=0,         INDEX(Maze!B:B,QUOTIENT(ROW()+1,3) + 1),       0))</f>
        <v>Application5</v>
      </c>
      <c r="Z50" s="126" cm="1">
        <f t="array" ref="Z50">INDEX(Map!$B$2:$V$22,-Paths!AA50+11,Paths!AB50+11)</f>
        <v>0</v>
      </c>
      <c r="AA50" s="127">
        <f t="shared" si="0"/>
        <v>-8</v>
      </c>
      <c r="AB50" s="127">
        <f t="shared" si="1"/>
        <v>-3</v>
      </c>
      <c r="AC50" s="52" t="str">
        <f t="shared" si="2"/>
        <v>-3, -8</v>
      </c>
    </row>
    <row r="51" spans="1:29" x14ac:dyDescent="0.3">
      <c r="A51" s="21" cm="1">
        <f t="array" ref="A51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2</v>
      </c>
      <c r="B51" s="21" cm="1">
        <f t="array" ref="B51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-6</v>
      </c>
      <c r="C51" s="21" t="str" cm="1">
        <f t="array" ref="C51">IF(MOD(ROW(),3)=2,      INDEX(Maze!A:A,QUOTIENT(ROW()+1,3) + 1),
IF(MOD(ROW(),3)=0,         INDEX(Maze!B:B,QUOTIENT(ROW()+1,3) + 1),       0))</f>
        <v>Application6</v>
      </c>
      <c r="Z51" s="126" cm="1">
        <f t="array" ref="Z51">INDEX(Map!$B$2:$V$22,-Paths!AA51+11,Paths!AB51+11)</f>
        <v>0</v>
      </c>
      <c r="AA51" s="127">
        <f t="shared" si="0"/>
        <v>-8</v>
      </c>
      <c r="AB51" s="127">
        <f t="shared" si="1"/>
        <v>-2</v>
      </c>
      <c r="AC51" s="52" t="str">
        <f t="shared" si="2"/>
        <v>-2, -8</v>
      </c>
    </row>
    <row r="52" spans="1:29" x14ac:dyDescent="0.3">
      <c r="A52" s="32"/>
      <c r="B52" s="33"/>
      <c r="C52" s="32"/>
      <c r="Z52" s="126" cm="1">
        <f t="array" ref="Z52">INDEX(Map!$B$2:$V$22,-Paths!AA52+11,Paths!AB52+11)</f>
        <v>0</v>
      </c>
      <c r="AA52" s="127">
        <f t="shared" si="0"/>
        <v>-8</v>
      </c>
      <c r="AB52" s="127">
        <f t="shared" si="1"/>
        <v>-1</v>
      </c>
      <c r="AC52" s="52" t="str">
        <f t="shared" si="2"/>
        <v>-1, -8</v>
      </c>
    </row>
    <row r="53" spans="1:29" x14ac:dyDescent="0.3">
      <c r="A53" s="21" cm="1">
        <f t="array" ref="A53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53" s="21" cm="1">
        <f t="array" ref="B53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53" s="19" cm="1">
        <f t="array" ref="C53">IF(MOD(ROW(),3)=2,      INDEX(Maze!A:A,QUOTIENT(ROW()+1,3) + 1),
IF(MOD(ROW(),3)=0,         INDEX(Maze!B:B,QUOTIENT(ROW()+1,3) + 1),       0))</f>
        <v>0</v>
      </c>
      <c r="Z53" s="126" cm="1">
        <f t="array" ref="Z53">INDEX(Map!$B$2:$V$22,-Paths!AA53+11,Paths!AB53+11)</f>
        <v>0</v>
      </c>
      <c r="AA53" s="127">
        <f t="shared" si="0"/>
        <v>-8</v>
      </c>
      <c r="AB53" s="127">
        <f t="shared" si="1"/>
        <v>0</v>
      </c>
      <c r="AC53" s="52" t="str">
        <f t="shared" si="2"/>
        <v>0, -8</v>
      </c>
    </row>
    <row r="54" spans="1:29" x14ac:dyDescent="0.3">
      <c r="A54" s="21" cm="1">
        <f t="array" ref="A54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54" s="21" cm="1">
        <f t="array" ref="B54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54" s="21" cm="1">
        <f t="array" ref="C54">IF(MOD(ROW(),3)=2,      INDEX(Maze!A:A,QUOTIENT(ROW()+1,3) + 1),
IF(MOD(ROW(),3)=0,         INDEX(Maze!B:B,QUOTIENT(ROW()+1,3) + 1),       0))</f>
        <v>0</v>
      </c>
      <c r="Z54" s="126" cm="1">
        <f t="array" ref="Z54">INDEX(Map!$B$2:$V$22,-Paths!AA54+11,Paths!AB54+11)</f>
        <v>0</v>
      </c>
      <c r="AA54" s="127">
        <f t="shared" si="0"/>
        <v>-8</v>
      </c>
      <c r="AB54" s="127">
        <f t="shared" si="1"/>
        <v>1</v>
      </c>
      <c r="AC54" s="52" t="str">
        <f t="shared" si="2"/>
        <v>1, -8</v>
      </c>
    </row>
    <row r="55" spans="1:29" x14ac:dyDescent="0.3">
      <c r="A55" s="32"/>
      <c r="B55" s="33"/>
      <c r="C55" s="32"/>
      <c r="Z55" s="126" t="str" cm="1">
        <f t="array" ref="Z55">INDEX(Map!$B$2:$V$22,-Paths!AA55+11,Paths!AB55+11)</f>
        <v>Teleport2</v>
      </c>
      <c r="AA55" s="127">
        <f t="shared" si="0"/>
        <v>-8</v>
      </c>
      <c r="AB55" s="127">
        <f t="shared" si="1"/>
        <v>2</v>
      </c>
      <c r="AC55" s="52" t="str">
        <f t="shared" si="2"/>
        <v>2, -8</v>
      </c>
    </row>
    <row r="56" spans="1:29" x14ac:dyDescent="0.3">
      <c r="A56" s="21" cm="1">
        <f t="array" ref="A56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56" s="21" cm="1">
        <f t="array" ref="B56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56" s="19" t="str" cm="1">
        <f t="array" ref="C56">IF(MOD(ROW(),3)=2,      INDEX(Maze!A:A,QUOTIENT(ROW()+1,3) + 1),
IF(MOD(ROW(),3)=0,         INDEX(Maze!B:B,QUOTIENT(ROW()+1,3) + 1),       0))</f>
        <v>Benefits</v>
      </c>
      <c r="Z56" s="126" cm="1">
        <f t="array" ref="Z56">INDEX(Map!$B$2:$V$22,-Paths!AA56+11,Paths!AB56+11)</f>
        <v>0</v>
      </c>
      <c r="AA56" s="127">
        <f t="shared" si="0"/>
        <v>-8</v>
      </c>
      <c r="AB56" s="127">
        <f t="shared" si="1"/>
        <v>3</v>
      </c>
      <c r="AC56" s="52" t="str">
        <f t="shared" si="2"/>
        <v>3, -8</v>
      </c>
    </row>
    <row r="57" spans="1:29" x14ac:dyDescent="0.3">
      <c r="A57" s="21" cm="1">
        <f t="array" ref="A57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57" s="21" cm="1">
        <f t="array" ref="B57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1</v>
      </c>
      <c r="C57" s="21" t="str" cm="1">
        <f t="array" ref="C57">IF(MOD(ROW(),3)=2,      INDEX(Maze!A:A,QUOTIENT(ROW()+1,3) + 1),
IF(MOD(ROW(),3)=0,         INDEX(Maze!B:B,QUOTIENT(ROW()+1,3) + 1),       0))</f>
        <v>Benefit1</v>
      </c>
      <c r="Z57" s="126" cm="1">
        <f t="array" ref="Z57">INDEX(Map!$B$2:$V$22,-Paths!AA57+11,Paths!AB57+11)</f>
        <v>0</v>
      </c>
      <c r="AA57" s="127">
        <f t="shared" si="0"/>
        <v>-8</v>
      </c>
      <c r="AB57" s="127">
        <f t="shared" si="1"/>
        <v>4</v>
      </c>
      <c r="AC57" s="52" t="str">
        <f t="shared" si="2"/>
        <v>4, -8</v>
      </c>
    </row>
    <row r="58" spans="1:29" x14ac:dyDescent="0.3">
      <c r="A58" s="32"/>
      <c r="B58" s="33"/>
      <c r="C58" s="32"/>
      <c r="Z58" s="126" cm="1">
        <f t="array" ref="Z58">INDEX(Map!$B$2:$V$22,-Paths!AA58+11,Paths!AB58+11)</f>
        <v>0</v>
      </c>
      <c r="AA58" s="127">
        <f t="shared" si="0"/>
        <v>-8</v>
      </c>
      <c r="AB58" s="127">
        <f t="shared" si="1"/>
        <v>5</v>
      </c>
      <c r="AC58" s="52" t="str">
        <f t="shared" si="2"/>
        <v>5, -8</v>
      </c>
    </row>
    <row r="59" spans="1:29" x14ac:dyDescent="0.3">
      <c r="A59" s="21" cm="1">
        <f t="array" ref="A59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59" s="21" cm="1">
        <f t="array" ref="B59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1</v>
      </c>
      <c r="C59" s="19" t="str" cm="1">
        <f t="array" ref="C59">IF(MOD(ROW(),3)=2,      INDEX(Maze!A:A,QUOTIENT(ROW()+1,3) + 1),
IF(MOD(ROW(),3)=0,         INDEX(Maze!B:B,QUOTIENT(ROW()+1,3) + 1),       0))</f>
        <v>Benefit1</v>
      </c>
      <c r="Z59" s="126" cm="1">
        <f t="array" ref="Z59">INDEX(Map!$B$2:$V$22,-Paths!AA59+11,Paths!AB59+11)</f>
        <v>0</v>
      </c>
      <c r="AA59" s="127">
        <f t="shared" si="0"/>
        <v>-8</v>
      </c>
      <c r="AB59" s="127">
        <f t="shared" si="1"/>
        <v>6</v>
      </c>
      <c r="AC59" s="52" t="str">
        <f t="shared" si="2"/>
        <v>6, -8</v>
      </c>
    </row>
    <row r="60" spans="1:29" x14ac:dyDescent="0.3">
      <c r="A60" s="21" cm="1">
        <f t="array" ref="A60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60" s="21" cm="1">
        <f t="array" ref="B60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2</v>
      </c>
      <c r="C60" s="21" t="str" cm="1">
        <f t="array" ref="C60">IF(MOD(ROW(),3)=2,      INDEX(Maze!A:A,QUOTIENT(ROW()+1,3) + 1),
IF(MOD(ROW(),3)=0,         INDEX(Maze!B:B,QUOTIENT(ROW()+1,3) + 1),       0))</f>
        <v>Benefit2</v>
      </c>
      <c r="Z60" s="126" cm="1">
        <f t="array" ref="Z60">INDEX(Map!$B$2:$V$22,-Paths!AA60+11,Paths!AB60+11)</f>
        <v>0</v>
      </c>
      <c r="AA60" s="127">
        <f t="shared" si="0"/>
        <v>-8</v>
      </c>
      <c r="AB60" s="127">
        <f t="shared" si="1"/>
        <v>7</v>
      </c>
      <c r="AC60" s="52" t="str">
        <f t="shared" si="2"/>
        <v>7, -8</v>
      </c>
    </row>
    <row r="61" spans="1:29" ht="15" thickBot="1" x14ac:dyDescent="0.35">
      <c r="A61" s="32"/>
      <c r="B61" s="33"/>
      <c r="C61" s="32"/>
      <c r="Z61" s="126" cm="1">
        <f t="array" ref="Z61">INDEX(Map!$B$2:$V$22,-Paths!AA61+11,Paths!AB61+11)</f>
        <v>0</v>
      </c>
      <c r="AA61" s="127">
        <f t="shared" si="0"/>
        <v>-8</v>
      </c>
      <c r="AB61" s="127">
        <f t="shared" si="1"/>
        <v>8</v>
      </c>
      <c r="AC61" s="52" t="str">
        <f t="shared" si="2"/>
        <v>8, -8</v>
      </c>
    </row>
    <row r="62" spans="1:29" ht="14.4" customHeight="1" x14ac:dyDescent="0.3">
      <c r="A62" s="21" cm="1">
        <f t="array" ref="A62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62" s="21" cm="1">
        <f t="array" ref="B62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2</v>
      </c>
      <c r="C62" s="69" t="str" cm="1">
        <f t="array" ref="C62">IF(MOD(ROW(),3)=2,      INDEX(Maze!A:A,QUOTIENT(ROW()+1,3) + 1),
IF(MOD(ROW(),3)=0,         INDEX(Maze!B:B,QUOTIENT(ROW()+1,3) + 1),       0))</f>
        <v>Benefit2</v>
      </c>
      <c r="D62" s="184" t="s">
        <v>109</v>
      </c>
      <c r="Z62" s="126" cm="1">
        <f t="array" ref="Z62">INDEX(Map!$B$2:$V$22,-Paths!AA62+11,Paths!AB62+11)</f>
        <v>0</v>
      </c>
      <c r="AA62" s="127">
        <f t="shared" si="0"/>
        <v>-8</v>
      </c>
      <c r="AB62" s="127">
        <f t="shared" si="1"/>
        <v>9</v>
      </c>
      <c r="AC62" s="52" t="str">
        <f t="shared" si="2"/>
        <v>9, -8</v>
      </c>
    </row>
    <row r="63" spans="1:29" x14ac:dyDescent="0.3">
      <c r="A63" s="21" cm="1">
        <f t="array" ref="A63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63" s="21" cm="1">
        <f t="array" ref="B63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3</v>
      </c>
      <c r="C63" s="25" t="str" cm="1">
        <f t="array" ref="C63">IF(MOD(ROW(),3)=2,      INDEX(Maze!A:A,QUOTIENT(ROW()+1,3) + 1),
IF(MOD(ROW(),3)=0,         INDEX(Maze!B:B,QUOTIENT(ROW()+1,3) + 1),       0))</f>
        <v>Benefit3</v>
      </c>
      <c r="D63" s="185"/>
      <c r="Z63" s="126" cm="1">
        <f t="array" ref="Z63">INDEX(Map!$B$2:$V$22,-Paths!AA63+11,Paths!AB63+11)</f>
        <v>0</v>
      </c>
      <c r="AA63" s="127">
        <f t="shared" si="0"/>
        <v>-8</v>
      </c>
      <c r="AB63" s="127">
        <f t="shared" si="1"/>
        <v>10</v>
      </c>
      <c r="AC63" s="52" t="str">
        <f t="shared" si="2"/>
        <v>10, -8</v>
      </c>
    </row>
    <row r="64" spans="1:29" ht="15" thickBot="1" x14ac:dyDescent="0.35">
      <c r="A64" s="32"/>
      <c r="B64" s="33"/>
      <c r="C64" s="67"/>
      <c r="D64" s="186"/>
      <c r="Z64" s="126" cm="1">
        <f t="array" ref="Z64">INDEX(Map!$B$2:$V$22,-Paths!AA64+11,Paths!AB64+11)</f>
        <v>0</v>
      </c>
      <c r="AA64" s="127">
        <f t="shared" si="0"/>
        <v>-7</v>
      </c>
      <c r="AB64" s="127">
        <f t="shared" si="1"/>
        <v>-10</v>
      </c>
      <c r="AC64" s="52" t="str">
        <f t="shared" si="2"/>
        <v>-10, -7</v>
      </c>
    </row>
    <row r="65" spans="1:29" x14ac:dyDescent="0.3">
      <c r="A65" s="21" cm="1">
        <f t="array" ref="A65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65" s="21" cm="1">
        <f t="array" ref="B65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3</v>
      </c>
      <c r="C65" s="69" t="str" cm="1">
        <f t="array" ref="C65">IF(MOD(ROW(),3)=2,      INDEX(Maze!A:A,QUOTIENT(ROW()+1,3) + 1),
IF(MOD(ROW(),3)=0,         INDEX(Maze!B:B,QUOTIENT(ROW()+1,3) + 1),       0))</f>
        <v>Benefit3</v>
      </c>
      <c r="Z65" s="126" cm="1">
        <f t="array" ref="Z65">INDEX(Map!$B$2:$V$22,-Paths!AA65+11,Paths!AB65+11)</f>
        <v>0</v>
      </c>
      <c r="AA65" s="127">
        <f t="shared" ref="AA65:AA128" si="3">QUOTIENT(ROW(AB65)-1,21)-10</f>
        <v>-7</v>
      </c>
      <c r="AB65" s="127">
        <f t="shared" ref="AB65:AB128" si="4">MOD(ROW(AB65)-1,21)-10</f>
        <v>-9</v>
      </c>
      <c r="AC65" s="52" t="str">
        <f t="shared" si="2"/>
        <v>-9, -7</v>
      </c>
    </row>
    <row r="66" spans="1:29" x14ac:dyDescent="0.3">
      <c r="A66" s="21" cm="1">
        <f t="array" ref="A66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66" s="21" cm="1">
        <f t="array" ref="B66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4</v>
      </c>
      <c r="C66" s="25" t="str" cm="1">
        <f t="array" ref="C66">IF(MOD(ROW(),3)=2,      INDEX(Maze!A:A,QUOTIENT(ROW()+1,3) + 1),
IF(MOD(ROW(),3)=0,         INDEX(Maze!B:B,QUOTIENT(ROW()+1,3) + 1),       0))</f>
        <v>Benefit4</v>
      </c>
      <c r="Z66" s="126" cm="1">
        <f t="array" ref="Z66">INDEX(Map!$B$2:$V$22,-Paths!AA66+11,Paths!AB66+11)</f>
        <v>0</v>
      </c>
      <c r="AA66" s="127">
        <f t="shared" si="3"/>
        <v>-7</v>
      </c>
      <c r="AB66" s="127">
        <f t="shared" si="4"/>
        <v>-8</v>
      </c>
      <c r="AC66" s="52" t="str">
        <f t="shared" ref="AC66:AC129" si="5">AB66&amp;", "&amp;AA66</f>
        <v>-8, -7</v>
      </c>
    </row>
    <row r="67" spans="1:29" x14ac:dyDescent="0.3">
      <c r="A67" s="32"/>
      <c r="B67" s="33"/>
      <c r="C67" s="67"/>
      <c r="Z67" s="126" cm="1">
        <f t="array" ref="Z67">INDEX(Map!$B$2:$V$22,-Paths!AA67+11,Paths!AB67+11)</f>
        <v>0</v>
      </c>
      <c r="AA67" s="127">
        <f t="shared" si="3"/>
        <v>-7</v>
      </c>
      <c r="AB67" s="127">
        <f t="shared" si="4"/>
        <v>-7</v>
      </c>
      <c r="AC67" s="52" t="str">
        <f t="shared" si="5"/>
        <v>-7, -7</v>
      </c>
    </row>
    <row r="68" spans="1:29" x14ac:dyDescent="0.3">
      <c r="A68" s="21" cm="1">
        <f t="array" ref="A68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68" s="21" cm="1">
        <f t="array" ref="B68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4</v>
      </c>
      <c r="C68" s="69" t="str" cm="1">
        <f t="array" ref="C68">IF(MOD(ROW(),3)=2,      INDEX(Maze!A:A,QUOTIENT(ROW()+1,3) + 1),
IF(MOD(ROW(),3)=0,         INDEX(Maze!B:B,QUOTIENT(ROW()+1,3) + 1),       0))</f>
        <v>Benefit4</v>
      </c>
      <c r="Z68" s="126" cm="1">
        <f t="array" ref="Z68">INDEX(Map!$B$2:$V$22,-Paths!AA68+11,Paths!AB68+11)</f>
        <v>0</v>
      </c>
      <c r="AA68" s="127">
        <f t="shared" si="3"/>
        <v>-7</v>
      </c>
      <c r="AB68" s="127">
        <f t="shared" si="4"/>
        <v>-6</v>
      </c>
      <c r="AC68" s="52" t="str">
        <f t="shared" si="5"/>
        <v>-6, -7</v>
      </c>
    </row>
    <row r="69" spans="1:29" x14ac:dyDescent="0.3">
      <c r="A69" s="21" cm="1">
        <f t="array" ref="A69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69" s="21" cm="1">
        <f t="array" ref="B69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5</v>
      </c>
      <c r="C69" s="25" t="str" cm="1">
        <f t="array" ref="C69">IF(MOD(ROW(),3)=2,      INDEX(Maze!A:A,QUOTIENT(ROW()+1,3) + 1),
IF(MOD(ROW(),3)=0,         INDEX(Maze!B:B,QUOTIENT(ROW()+1,3) + 1),       0))</f>
        <v>Benefit5</v>
      </c>
      <c r="Z69" s="126" cm="1">
        <f t="array" ref="Z69">INDEX(Map!$B$2:$V$22,-Paths!AA69+11,Paths!AB69+11)</f>
        <v>0</v>
      </c>
      <c r="AA69" s="127">
        <f t="shared" si="3"/>
        <v>-7</v>
      </c>
      <c r="AB69" s="127">
        <f t="shared" si="4"/>
        <v>-5</v>
      </c>
      <c r="AC69" s="52" t="str">
        <f t="shared" si="5"/>
        <v>-5, -7</v>
      </c>
    </row>
    <row r="70" spans="1:29" x14ac:dyDescent="0.3">
      <c r="A70" s="32"/>
      <c r="B70" s="33"/>
      <c r="C70" s="67"/>
      <c r="Z70" s="126" cm="1">
        <f t="array" ref="Z70">INDEX(Map!$B$2:$V$22,-Paths!AA70+11,Paths!AB70+11)</f>
        <v>0</v>
      </c>
      <c r="AA70" s="127">
        <f t="shared" si="3"/>
        <v>-7</v>
      </c>
      <c r="AB70" s="127">
        <f t="shared" si="4"/>
        <v>-4</v>
      </c>
      <c r="AC70" s="52" t="str">
        <f t="shared" si="5"/>
        <v>-4, -7</v>
      </c>
    </row>
    <row r="71" spans="1:29" x14ac:dyDescent="0.3">
      <c r="A71" s="21" cm="1">
        <f t="array" ref="A71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71" s="21" cm="1">
        <f t="array" ref="B71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5</v>
      </c>
      <c r="C71" s="69" t="str" cm="1">
        <f t="array" ref="C71">IF(MOD(ROW(),3)=2,      INDEX(Maze!A:A,QUOTIENT(ROW()+1,3) + 1),
IF(MOD(ROW(),3)=0,         INDEX(Maze!B:B,QUOTIENT(ROW()+1,3) + 1),       0))</f>
        <v>Benefit5</v>
      </c>
      <c r="Z71" s="126" cm="1">
        <f t="array" ref="Z71">INDEX(Map!$B$2:$V$22,-Paths!AA71+11,Paths!AB71+11)</f>
        <v>0</v>
      </c>
      <c r="AA71" s="127">
        <f t="shared" si="3"/>
        <v>-7</v>
      </c>
      <c r="AB71" s="127">
        <f t="shared" si="4"/>
        <v>-3</v>
      </c>
      <c r="AC71" s="52" t="str">
        <f t="shared" si="5"/>
        <v>-3, -7</v>
      </c>
    </row>
    <row r="72" spans="1:29" x14ac:dyDescent="0.3">
      <c r="A72" s="21" cm="1">
        <f t="array" ref="A72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3</v>
      </c>
      <c r="B72" s="21" cm="1">
        <f t="array" ref="B72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6</v>
      </c>
      <c r="C72" s="25" t="str" cm="1">
        <f t="array" ref="C72">IF(MOD(ROW(),3)=2,      INDEX(Maze!A:A,QUOTIENT(ROW()+1,3) + 1),
IF(MOD(ROW(),3)=0,         INDEX(Maze!B:B,QUOTIENT(ROW()+1,3) + 1),       0))</f>
        <v>Benefit6</v>
      </c>
      <c r="Z72" s="126" cm="1">
        <f t="array" ref="Z72">INDEX(Map!$B$2:$V$22,-Paths!AA72+11,Paths!AB72+11)</f>
        <v>0</v>
      </c>
      <c r="AA72" s="127">
        <f t="shared" si="3"/>
        <v>-7</v>
      </c>
      <c r="AB72" s="127">
        <f t="shared" si="4"/>
        <v>-2</v>
      </c>
      <c r="AC72" s="52" t="str">
        <f t="shared" si="5"/>
        <v>-2, -7</v>
      </c>
    </row>
    <row r="73" spans="1:29" x14ac:dyDescent="0.3">
      <c r="A73" s="32"/>
      <c r="B73" s="33"/>
      <c r="C73" s="67"/>
      <c r="Z73" s="126" cm="1">
        <f t="array" ref="Z73">INDEX(Map!$B$2:$V$22,-Paths!AA73+11,Paths!AB73+11)</f>
        <v>0</v>
      </c>
      <c r="AA73" s="127">
        <f t="shared" si="3"/>
        <v>-7</v>
      </c>
      <c r="AB73" s="127">
        <f t="shared" si="4"/>
        <v>-1</v>
      </c>
      <c r="AC73" s="52" t="str">
        <f t="shared" si="5"/>
        <v>-1, -7</v>
      </c>
    </row>
    <row r="74" spans="1:29" x14ac:dyDescent="0.3">
      <c r="A74" s="21" cm="1">
        <f t="array" ref="A74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74" s="21" cm="1">
        <f t="array" ref="B74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74" s="69" t="str" cm="1">
        <f t="array" ref="C74">IF(MOD(ROW(),3)=2,      INDEX(Maze!A:A,QUOTIENT(ROW()+1,3) + 1),
IF(MOD(ROW(),3)=0,         INDEX(Maze!B:B,QUOTIENT(ROW()+1,3) + 1),       0))</f>
        <v>Benefit6</v>
      </c>
      <c r="Z74" s="126" cm="1">
        <f t="array" ref="Z74">INDEX(Map!$B$2:$V$22,-Paths!AA74+11,Paths!AB74+11)</f>
        <v>0</v>
      </c>
      <c r="AA74" s="127">
        <f t="shared" si="3"/>
        <v>-7</v>
      </c>
      <c r="AB74" s="127">
        <f t="shared" si="4"/>
        <v>0</v>
      </c>
      <c r="AC74" s="52" t="str">
        <f t="shared" si="5"/>
        <v>0, -7</v>
      </c>
    </row>
    <row r="75" spans="1:29" x14ac:dyDescent="0.3">
      <c r="A75" s="21" cm="1">
        <f t="array" ref="A75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75" s="21" cm="1">
        <f t="array" ref="B75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75" s="25" t="str" cm="1">
        <f t="array" ref="C75">IF(MOD(ROW(),3)=2,      INDEX(Maze!A:A,QUOTIENT(ROW()+1,3) + 1),
IF(MOD(ROW(),3)=0,         INDEX(Maze!B:B,QUOTIENT(ROW()+1,3) + 1),       0))</f>
        <v>Feature6</v>
      </c>
      <c r="Z75" s="126" cm="1">
        <f t="array" ref="Z75">INDEX(Map!$B$2:$V$22,-Paths!AA75+11,Paths!AB75+11)</f>
        <v>0</v>
      </c>
      <c r="AA75" s="127">
        <f t="shared" si="3"/>
        <v>-7</v>
      </c>
      <c r="AB75" s="127">
        <f t="shared" si="4"/>
        <v>1</v>
      </c>
      <c r="AC75" s="52" t="str">
        <f t="shared" si="5"/>
        <v>1, -7</v>
      </c>
    </row>
    <row r="76" spans="1:29" x14ac:dyDescent="0.3">
      <c r="A76" s="32"/>
      <c r="B76" s="33"/>
      <c r="C76" s="67"/>
      <c r="Z76" s="126" cm="1">
        <f t="array" ref="Z76">INDEX(Map!$B$2:$V$22,-Paths!AA76+11,Paths!AB76+11)</f>
        <v>0</v>
      </c>
      <c r="AA76" s="127">
        <f t="shared" si="3"/>
        <v>-7</v>
      </c>
      <c r="AB76" s="127">
        <f t="shared" si="4"/>
        <v>2</v>
      </c>
      <c r="AC76" s="52" t="str">
        <f t="shared" si="5"/>
        <v>2, -7</v>
      </c>
    </row>
    <row r="77" spans="1:29" x14ac:dyDescent="0.3">
      <c r="A77" s="21" cm="1">
        <f t="array" ref="A77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77" s="21" cm="1">
        <f t="array" ref="B77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77" s="69" cm="1">
        <f t="array" ref="C77">IF(MOD(ROW(),3)=2,      INDEX(Maze!A:A,QUOTIENT(ROW()+1,3) + 1),
IF(MOD(ROW(),3)=0,         INDEX(Maze!B:B,QUOTIENT(ROW()+1,3) + 1),       0))</f>
        <v>0</v>
      </c>
      <c r="Z77" s="126" cm="1">
        <f t="array" ref="Z77">INDEX(Map!$B$2:$V$22,-Paths!AA77+11,Paths!AB77+11)</f>
        <v>0</v>
      </c>
      <c r="AA77" s="127">
        <f t="shared" si="3"/>
        <v>-7</v>
      </c>
      <c r="AB77" s="127">
        <f t="shared" si="4"/>
        <v>3</v>
      </c>
      <c r="AC77" s="52" t="str">
        <f t="shared" si="5"/>
        <v>3, -7</v>
      </c>
    </row>
    <row r="78" spans="1:29" x14ac:dyDescent="0.3">
      <c r="A78" s="21" cm="1">
        <f t="array" ref="A78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78" s="21" cm="1">
        <f t="array" ref="B78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78" s="25" cm="1">
        <f t="array" ref="C78">IF(MOD(ROW(),3)=2,      INDEX(Maze!A:A,QUOTIENT(ROW()+1,3) + 1),
IF(MOD(ROW(),3)=0,         INDEX(Maze!B:B,QUOTIENT(ROW()+1,3) + 1),       0))</f>
        <v>0</v>
      </c>
      <c r="Z78" s="126" cm="1">
        <f t="array" ref="Z78">INDEX(Map!$B$2:$V$22,-Paths!AA78+11,Paths!AB78+11)</f>
        <v>0</v>
      </c>
      <c r="AA78" s="127">
        <f t="shared" si="3"/>
        <v>-7</v>
      </c>
      <c r="AB78" s="127">
        <f t="shared" si="4"/>
        <v>4</v>
      </c>
      <c r="AC78" s="52" t="str">
        <f t="shared" si="5"/>
        <v>4, -7</v>
      </c>
    </row>
    <row r="79" spans="1:29" x14ac:dyDescent="0.3">
      <c r="A79" s="32"/>
      <c r="B79" s="33"/>
      <c r="C79" s="67"/>
      <c r="Z79" s="126" cm="1">
        <f t="array" ref="Z79">INDEX(Map!$B$2:$V$22,-Paths!AA79+11,Paths!AB79+11)</f>
        <v>0</v>
      </c>
      <c r="AA79" s="127">
        <f t="shared" si="3"/>
        <v>-7</v>
      </c>
      <c r="AB79" s="127">
        <f t="shared" si="4"/>
        <v>5</v>
      </c>
      <c r="AC79" s="52" t="str">
        <f t="shared" si="5"/>
        <v>5, -7</v>
      </c>
    </row>
    <row r="80" spans="1:29" x14ac:dyDescent="0.3">
      <c r="A80" s="21" cm="1">
        <f t="array" ref="A80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80" s="21" cm="1">
        <f t="array" ref="B80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80" s="19" t="str" cm="1">
        <f t="array" ref="C80">IF(MOD(ROW(),3)=2,      INDEX(Maze!A:A,QUOTIENT(ROW()+1,3) + 1),
IF(MOD(ROW(),3)=0,         INDEX(Maze!B:B,QUOTIENT(ROW()+1,3) + 1),       0))</f>
        <v>Blank_1</v>
      </c>
      <c r="Z80" s="126" cm="1">
        <f t="array" ref="Z80">INDEX(Map!$B$2:$V$22,-Paths!AA80+11,Paths!AB80+11)</f>
        <v>0</v>
      </c>
      <c r="AA80" s="127">
        <f t="shared" si="3"/>
        <v>-7</v>
      </c>
      <c r="AB80" s="127">
        <f t="shared" si="4"/>
        <v>6</v>
      </c>
      <c r="AC80" s="52" t="str">
        <f t="shared" si="5"/>
        <v>6, -7</v>
      </c>
    </row>
    <row r="81" spans="1:29" x14ac:dyDescent="0.3">
      <c r="A81" s="21" cm="1">
        <f t="array" ref="A81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10</v>
      </c>
      <c r="B81" s="21" cm="1">
        <f t="array" ref="B81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81" s="21" t="str" cm="1">
        <f t="array" ref="C81">IF(MOD(ROW(),3)=2,      INDEX(Maze!A:A,QUOTIENT(ROW()+1,3) + 1),
IF(MOD(ROW(),3)=0,         INDEX(Maze!B:B,QUOTIENT(ROW()+1,3) + 1),       0))</f>
        <v>Blank_2</v>
      </c>
      <c r="Z81" s="126" cm="1">
        <f t="array" ref="Z81">INDEX(Map!$B$2:$V$22,-Paths!AA81+11,Paths!AB81+11)</f>
        <v>0</v>
      </c>
      <c r="AA81" s="127">
        <f t="shared" si="3"/>
        <v>-7</v>
      </c>
      <c r="AB81" s="127">
        <f t="shared" si="4"/>
        <v>7</v>
      </c>
      <c r="AC81" s="52" t="str">
        <f t="shared" si="5"/>
        <v>7, -7</v>
      </c>
    </row>
    <row r="82" spans="1:29" x14ac:dyDescent="0.3">
      <c r="A82" s="32"/>
      <c r="B82" s="33"/>
      <c r="C82" s="32"/>
      <c r="Z82" s="126" cm="1">
        <f t="array" ref="Z82">INDEX(Map!$B$2:$V$22,-Paths!AA82+11,Paths!AB82+11)</f>
        <v>0</v>
      </c>
      <c r="AA82" s="127">
        <f t="shared" si="3"/>
        <v>-7</v>
      </c>
      <c r="AB82" s="127">
        <f t="shared" si="4"/>
        <v>8</v>
      </c>
      <c r="AC82" s="52" t="str">
        <f t="shared" si="5"/>
        <v>8, -7</v>
      </c>
    </row>
    <row r="83" spans="1:29" x14ac:dyDescent="0.3">
      <c r="A83" s="21" cm="1">
        <f t="array" ref="A83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10</v>
      </c>
      <c r="B83" s="21" cm="1">
        <f t="array" ref="B83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83" s="19" t="str" cm="1">
        <f t="array" ref="C83">IF(MOD(ROW(),3)=2,      INDEX(Maze!A:A,QUOTIENT(ROW()+1,3) + 1),
IF(MOD(ROW(),3)=0,         INDEX(Maze!B:B,QUOTIENT(ROW()+1,3) + 1),       0))</f>
        <v>Blank_2</v>
      </c>
      <c r="Z83" s="126" cm="1">
        <f t="array" ref="Z83">INDEX(Map!$B$2:$V$22,-Paths!AA83+11,Paths!AB83+11)</f>
        <v>0</v>
      </c>
      <c r="AA83" s="127">
        <f t="shared" si="3"/>
        <v>-7</v>
      </c>
      <c r="AB83" s="127">
        <f t="shared" si="4"/>
        <v>9</v>
      </c>
      <c r="AC83" s="52" t="str">
        <f t="shared" si="5"/>
        <v>9, -7</v>
      </c>
    </row>
    <row r="84" spans="1:29" x14ac:dyDescent="0.3">
      <c r="A84" s="21" cm="1">
        <f t="array" ref="A84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10</v>
      </c>
      <c r="B84" s="21" cm="1">
        <f t="array" ref="B84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10</v>
      </c>
      <c r="C84" s="21" t="str" cm="1">
        <f t="array" ref="C84">IF(MOD(ROW(),3)=2,      INDEX(Maze!A:A,QUOTIENT(ROW()+1,3) + 1),
IF(MOD(ROW(),3)=0,         INDEX(Maze!B:B,QUOTIENT(ROW()+1,3) + 1),       0))</f>
        <v>Blank_3</v>
      </c>
      <c r="Z84" s="126" cm="1">
        <f t="array" ref="Z84">INDEX(Map!$B$2:$V$22,-Paths!AA84+11,Paths!AB84+11)</f>
        <v>0</v>
      </c>
      <c r="AA84" s="127">
        <f t="shared" si="3"/>
        <v>-7</v>
      </c>
      <c r="AB84" s="127">
        <f t="shared" si="4"/>
        <v>10</v>
      </c>
      <c r="AC84" s="52" t="str">
        <f t="shared" si="5"/>
        <v>10, -7</v>
      </c>
    </row>
    <row r="85" spans="1:29" x14ac:dyDescent="0.3">
      <c r="A85" s="32"/>
      <c r="B85" s="32"/>
      <c r="C85" s="32"/>
      <c r="Z85" s="126" cm="1">
        <f t="array" ref="Z85">INDEX(Map!$B$2:$V$22,-Paths!AA85+11,Paths!AB85+11)</f>
        <v>0</v>
      </c>
      <c r="AA85" s="127">
        <f t="shared" si="3"/>
        <v>-6</v>
      </c>
      <c r="AB85" s="127">
        <f t="shared" si="4"/>
        <v>-10</v>
      </c>
      <c r="AC85" s="52" t="str">
        <f t="shared" si="5"/>
        <v>-10, -6</v>
      </c>
    </row>
    <row r="86" spans="1:29" x14ac:dyDescent="0.3">
      <c r="A86" s="21" cm="1">
        <f t="array" ref="A86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10</v>
      </c>
      <c r="B86" s="21" cm="1">
        <f t="array" ref="B86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10</v>
      </c>
      <c r="C86" s="19" t="str" cm="1">
        <f t="array" ref="C86">IF(MOD(ROW(),3)=2,      INDEX(Maze!A:A,QUOTIENT(ROW()+1,3) + 1),
IF(MOD(ROW(),3)=0,         INDEX(Maze!B:B,QUOTIENT(ROW()+1,3) + 1),       0))</f>
        <v>Blank_3</v>
      </c>
      <c r="Z86" s="126" cm="1">
        <f t="array" ref="Z86">INDEX(Map!$B$2:$V$22,-Paths!AA86+11,Paths!AB86+11)</f>
        <v>0</v>
      </c>
      <c r="AA86" s="127">
        <f t="shared" si="3"/>
        <v>-6</v>
      </c>
      <c r="AB86" s="127">
        <f t="shared" si="4"/>
        <v>-9</v>
      </c>
      <c r="AC86" s="52" t="str">
        <f t="shared" si="5"/>
        <v>-9, -6</v>
      </c>
    </row>
    <row r="87" spans="1:29" x14ac:dyDescent="0.3">
      <c r="A87" s="21" cm="1">
        <f t="array" ref="A87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87" s="21" cm="1">
        <f t="array" ref="B87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10</v>
      </c>
      <c r="C87" s="21" t="str" cm="1">
        <f t="array" ref="C87">IF(MOD(ROW(),3)=2,      INDEX(Maze!A:A,QUOTIENT(ROW()+1,3) + 1),
IF(MOD(ROW(),3)=0,         INDEX(Maze!B:B,QUOTIENT(ROW()+1,3) + 1),       0))</f>
        <v>Blank_4</v>
      </c>
      <c r="Z87" s="126" cm="1">
        <f t="array" ref="Z87">INDEX(Map!$B$2:$V$22,-Paths!AA87+11,Paths!AB87+11)</f>
        <v>0</v>
      </c>
      <c r="AA87" s="127">
        <f t="shared" si="3"/>
        <v>-6</v>
      </c>
      <c r="AB87" s="127">
        <f t="shared" si="4"/>
        <v>-8</v>
      </c>
      <c r="AC87" s="52" t="str">
        <f t="shared" si="5"/>
        <v>-8, -6</v>
      </c>
    </row>
    <row r="88" spans="1:29" x14ac:dyDescent="0.3">
      <c r="A88" s="32"/>
      <c r="B88" s="32"/>
      <c r="C88" s="32"/>
      <c r="Z88" s="126" cm="1">
        <f t="array" ref="Z88">INDEX(Map!$B$2:$V$22,-Paths!AA88+11,Paths!AB88+11)</f>
        <v>0</v>
      </c>
      <c r="AA88" s="127">
        <f t="shared" si="3"/>
        <v>-6</v>
      </c>
      <c r="AB88" s="127">
        <f t="shared" si="4"/>
        <v>-7</v>
      </c>
      <c r="AC88" s="52" t="str">
        <f t="shared" si="5"/>
        <v>-7, -6</v>
      </c>
    </row>
    <row r="89" spans="1:29" x14ac:dyDescent="0.3">
      <c r="A89" s="21" cm="1">
        <f t="array" ref="A89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89" s="21" cm="1">
        <f t="array" ref="B89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10</v>
      </c>
      <c r="C89" s="19" t="str" cm="1">
        <f t="array" ref="C89">IF(MOD(ROW(),3)=2,      INDEX(Maze!A:A,QUOTIENT(ROW()+1,3) + 1),
IF(MOD(ROW(),3)=0,         INDEX(Maze!B:B,QUOTIENT(ROW()+1,3) + 1),       0))</f>
        <v>Blank_4</v>
      </c>
      <c r="Z89" s="126" cm="1">
        <f t="array" ref="Z89">INDEX(Map!$B$2:$V$22,-Paths!AA89+11,Paths!AB89+11)</f>
        <v>0</v>
      </c>
      <c r="AA89" s="127">
        <f t="shared" si="3"/>
        <v>-6</v>
      </c>
      <c r="AB89" s="127">
        <f t="shared" si="4"/>
        <v>-6</v>
      </c>
      <c r="AC89" s="52" t="str">
        <f t="shared" si="5"/>
        <v>-6, -6</v>
      </c>
    </row>
    <row r="90" spans="1:29" x14ac:dyDescent="0.3">
      <c r="A90" s="21" cm="1">
        <f t="array" ref="A90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90" s="21" cm="1">
        <f t="array" ref="B90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90" s="21" t="str" cm="1">
        <f t="array" ref="C90">IF(MOD(ROW(),3)=2,      INDEX(Maze!A:A,QUOTIENT(ROW()+1,3) + 1),
IF(MOD(ROW(),3)=0,         INDEX(Maze!B:B,QUOTIENT(ROW()+1,3) + 1),       0))</f>
        <v>Blank_1</v>
      </c>
      <c r="Z90" s="126" cm="1">
        <f t="array" ref="Z90">INDEX(Map!$B$2:$V$22,-Paths!AA90+11,Paths!AB90+11)</f>
        <v>0</v>
      </c>
      <c r="AA90" s="127">
        <f t="shared" si="3"/>
        <v>-6</v>
      </c>
      <c r="AB90" s="127">
        <f t="shared" si="4"/>
        <v>-5</v>
      </c>
      <c r="AC90" s="52" t="str">
        <f t="shared" si="5"/>
        <v>-5, -6</v>
      </c>
    </row>
    <row r="91" spans="1:29" x14ac:dyDescent="0.3">
      <c r="A91" s="32"/>
      <c r="B91" s="32"/>
      <c r="C91" s="32"/>
      <c r="Z91" s="126" cm="1">
        <f t="array" ref="Z91">INDEX(Map!$B$2:$V$22,-Paths!AA91+11,Paths!AB91+11)</f>
        <v>0</v>
      </c>
      <c r="AA91" s="127">
        <f t="shared" si="3"/>
        <v>-6</v>
      </c>
      <c r="AB91" s="127">
        <f t="shared" si="4"/>
        <v>-4</v>
      </c>
      <c r="AC91" s="52" t="str">
        <f t="shared" si="5"/>
        <v>-4, -6</v>
      </c>
    </row>
    <row r="92" spans="1:29" x14ac:dyDescent="0.3">
      <c r="A92" s="21" cm="1">
        <f t="array" ref="A92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92" s="21" cm="1">
        <f t="array" ref="B92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92" s="19" cm="1">
        <f t="array" ref="C92">IF(MOD(ROW(),3)=2,      INDEX(Maze!A:A,QUOTIENT(ROW()+1,3) + 1),
IF(MOD(ROW(),3)=0,         INDEX(Maze!B:B,QUOTIENT(ROW()+1,3) + 1),       0))</f>
        <v>0</v>
      </c>
      <c r="Z92" s="126" cm="1">
        <f t="array" ref="Z92">INDEX(Map!$B$2:$V$22,-Paths!AA92+11,Paths!AB92+11)</f>
        <v>0</v>
      </c>
      <c r="AA92" s="127">
        <f t="shared" si="3"/>
        <v>-6</v>
      </c>
      <c r="AB92" s="127">
        <f t="shared" si="4"/>
        <v>-3</v>
      </c>
      <c r="AC92" s="52" t="str">
        <f t="shared" si="5"/>
        <v>-3, -6</v>
      </c>
    </row>
    <row r="93" spans="1:29" x14ac:dyDescent="0.3">
      <c r="A93" s="21" cm="1">
        <f t="array" ref="A93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93" s="21" cm="1">
        <f t="array" ref="B93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93" s="21" cm="1">
        <f t="array" ref="C93">IF(MOD(ROW(),3)=2,      INDEX(Maze!A:A,QUOTIENT(ROW()+1,3) + 1),
IF(MOD(ROW(),3)=0,         INDEX(Maze!B:B,QUOTIENT(ROW()+1,3) + 1),       0))</f>
        <v>0</v>
      </c>
      <c r="Z93" s="126" cm="1">
        <f t="array" ref="Z93">INDEX(Map!$B$2:$V$22,-Paths!AA93+11,Paths!AB93+11)</f>
        <v>0</v>
      </c>
      <c r="AA93" s="127">
        <f t="shared" si="3"/>
        <v>-6</v>
      </c>
      <c r="AB93" s="127">
        <f t="shared" si="4"/>
        <v>-2</v>
      </c>
      <c r="AC93" s="52" t="str">
        <f t="shared" si="5"/>
        <v>-2, -6</v>
      </c>
    </row>
    <row r="94" spans="1:29" x14ac:dyDescent="0.3">
      <c r="A94" s="32"/>
      <c r="B94" s="32"/>
      <c r="C94" s="32"/>
      <c r="Z94" s="126" cm="1">
        <f t="array" ref="Z94">INDEX(Map!$B$2:$V$22,-Paths!AA94+11,Paths!AB94+11)</f>
        <v>0</v>
      </c>
      <c r="AA94" s="127">
        <f t="shared" si="3"/>
        <v>-6</v>
      </c>
      <c r="AB94" s="127">
        <f t="shared" si="4"/>
        <v>-1</v>
      </c>
      <c r="AC94" s="52" t="str">
        <f t="shared" si="5"/>
        <v>-1, -6</v>
      </c>
    </row>
    <row r="95" spans="1:29" x14ac:dyDescent="0.3">
      <c r="A95" s="21" cm="1">
        <f t="array" ref="A95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95" s="21" cm="1">
        <f t="array" ref="B95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95" s="19" t="str" cm="1">
        <f t="array" ref="C95">IF(MOD(ROW(),3)=2,      INDEX(Maze!A:A,QUOTIENT(ROW()+1,3) + 1),
IF(MOD(ROW(),3)=0,         INDEX(Maze!B:B,QUOTIENT(ROW()+1,3) + 1),       0))</f>
        <v>Blank_1</v>
      </c>
      <c r="Z95" s="126" cm="1">
        <f t="array" ref="Z95">INDEX(Map!$B$2:$V$22,-Paths!AA95+11,Paths!AB95+11)</f>
        <v>0</v>
      </c>
      <c r="AA95" s="127">
        <f t="shared" si="3"/>
        <v>-6</v>
      </c>
      <c r="AB95" s="127">
        <f t="shared" si="4"/>
        <v>0</v>
      </c>
      <c r="AC95" s="52" t="str">
        <f t="shared" si="5"/>
        <v>0, -6</v>
      </c>
    </row>
    <row r="96" spans="1:29" x14ac:dyDescent="0.3">
      <c r="A96" s="21" cm="1">
        <f t="array" ref="A96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96" s="21" cm="1">
        <f t="array" ref="B96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96" s="21" t="str" cm="1">
        <f t="array" ref="C96">IF(MOD(ROW(),3)=2,      INDEX(Maze!A:A,QUOTIENT(ROW()+1,3) + 1),
IF(MOD(ROW(),3)=0,         INDEX(Maze!B:B,QUOTIENT(ROW()+1,3) + 1),       0))</f>
        <v>Blank_1</v>
      </c>
      <c r="Z96" s="126" cm="1">
        <f t="array" ref="Z96">INDEX(Map!$B$2:$V$22,-Paths!AA96+11,Paths!AB96+11)</f>
        <v>0</v>
      </c>
      <c r="AA96" s="127">
        <f t="shared" si="3"/>
        <v>-6</v>
      </c>
      <c r="AB96" s="127">
        <f t="shared" si="4"/>
        <v>1</v>
      </c>
      <c r="AC96" s="52" t="str">
        <f t="shared" si="5"/>
        <v>1, -6</v>
      </c>
    </row>
    <row r="97" spans="1:29" x14ac:dyDescent="0.3">
      <c r="A97" s="32"/>
      <c r="B97" s="32"/>
      <c r="C97" s="32"/>
      <c r="Z97" s="126" t="str" cm="1">
        <f t="array" ref="Z97">INDEX(Map!$B$2:$V$22,-Paths!AA97+11,Paths!AB97+11)</f>
        <v>Application6</v>
      </c>
      <c r="AA97" s="127">
        <f t="shared" si="3"/>
        <v>-6</v>
      </c>
      <c r="AB97" s="127">
        <f t="shared" si="4"/>
        <v>2</v>
      </c>
      <c r="AC97" s="52" t="str">
        <f t="shared" si="5"/>
        <v>2, -6</v>
      </c>
    </row>
    <row r="98" spans="1:29" x14ac:dyDescent="0.3">
      <c r="A98" s="21" cm="1">
        <f t="array" ref="A98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98" s="21" cm="1">
        <f t="array" ref="B98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98" s="19" t="str" cm="1">
        <f t="array" ref="C98">IF(MOD(ROW(),3)=2,      INDEX(Maze!A:A,QUOTIENT(ROW()+1,3) + 1),
IF(MOD(ROW(),3)=0,         INDEX(Maze!B:B,QUOTIENT(ROW()+1,3) + 1),       0))</f>
        <v>Blank_1</v>
      </c>
      <c r="Z98" s="126" cm="1">
        <f t="array" ref="Z98">INDEX(Map!$B$2:$V$22,-Paths!AA98+11,Paths!AB98+11)</f>
        <v>0</v>
      </c>
      <c r="AA98" s="127">
        <f t="shared" si="3"/>
        <v>-6</v>
      </c>
      <c r="AB98" s="127">
        <f t="shared" si="4"/>
        <v>3</v>
      </c>
      <c r="AC98" s="52" t="str">
        <f t="shared" si="5"/>
        <v>3, -6</v>
      </c>
    </row>
    <row r="99" spans="1:29" x14ac:dyDescent="0.3">
      <c r="A99" s="21" cm="1">
        <f t="array" ref="A99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99" s="21" cm="1">
        <f t="array" ref="B99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99" s="21" t="str" cm="1">
        <f t="array" ref="C99">IF(MOD(ROW(),3)=2,      INDEX(Maze!A:A,QUOTIENT(ROW()+1,3) + 1),
IF(MOD(ROW(),3)=0,         INDEX(Maze!B:B,QUOTIENT(ROW()+1,3) + 1),       0))</f>
        <v>Blank_1</v>
      </c>
      <c r="Z99" s="126" cm="1">
        <f t="array" ref="Z99">INDEX(Map!$B$2:$V$22,-Paths!AA99+11,Paths!AB99+11)</f>
        <v>0</v>
      </c>
      <c r="AA99" s="127">
        <f t="shared" si="3"/>
        <v>-6</v>
      </c>
      <c r="AB99" s="127">
        <f t="shared" si="4"/>
        <v>4</v>
      </c>
      <c r="AC99" s="52" t="str">
        <f t="shared" si="5"/>
        <v>4, -6</v>
      </c>
    </row>
    <row r="100" spans="1:29" x14ac:dyDescent="0.3">
      <c r="A100" s="32"/>
      <c r="B100" s="32"/>
      <c r="C100" s="32"/>
      <c r="Z100" s="126" cm="1">
        <f t="array" ref="Z100">INDEX(Map!$B$2:$V$22,-Paths!AA100+11,Paths!AB100+11)</f>
        <v>0</v>
      </c>
      <c r="AA100" s="127">
        <f t="shared" si="3"/>
        <v>-6</v>
      </c>
      <c r="AB100" s="127">
        <f t="shared" si="4"/>
        <v>5</v>
      </c>
      <c r="AC100" s="52" t="str">
        <f t="shared" si="5"/>
        <v>5, -6</v>
      </c>
    </row>
    <row r="101" spans="1:29" x14ac:dyDescent="0.3">
      <c r="A101" s="21" cm="1">
        <f t="array" ref="A101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101" s="21" cm="1">
        <f t="array" ref="B101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101" s="19" t="str" cm="1">
        <f t="array" ref="C101">IF(MOD(ROW(),3)=2,      INDEX(Maze!A:A,QUOTIENT(ROW()+1,3) + 1),
IF(MOD(ROW(),3)=0,         INDEX(Maze!B:B,QUOTIENT(ROW()+1,3) + 1),       0))</f>
        <v>Blank_1</v>
      </c>
      <c r="Z101" s="126" cm="1">
        <f t="array" ref="Z101">INDEX(Map!$B$2:$V$22,-Paths!AA101+11,Paths!AB101+11)</f>
        <v>0</v>
      </c>
      <c r="AA101" s="127">
        <f t="shared" si="3"/>
        <v>-6</v>
      </c>
      <c r="AB101" s="127">
        <f t="shared" si="4"/>
        <v>6</v>
      </c>
      <c r="AC101" s="52" t="str">
        <f t="shared" si="5"/>
        <v>6, -6</v>
      </c>
    </row>
    <row r="102" spans="1:29" x14ac:dyDescent="0.3">
      <c r="A102" s="21" cm="1">
        <f t="array" ref="A102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102" s="21" cm="1">
        <f t="array" ref="B102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102" s="21" t="str" cm="1">
        <f t="array" ref="C102">IF(MOD(ROW(),3)=2,      INDEX(Maze!A:A,QUOTIENT(ROW()+1,3) + 1),
IF(MOD(ROW(),3)=0,         INDEX(Maze!B:B,QUOTIENT(ROW()+1,3) + 1),       0))</f>
        <v>Blank_1</v>
      </c>
      <c r="Z102" s="126" cm="1">
        <f t="array" ref="Z102">INDEX(Map!$B$2:$V$22,-Paths!AA102+11,Paths!AB102+11)</f>
        <v>0</v>
      </c>
      <c r="AA102" s="127">
        <f t="shared" si="3"/>
        <v>-6</v>
      </c>
      <c r="AB102" s="127">
        <f t="shared" si="4"/>
        <v>7</v>
      </c>
      <c r="AC102" s="52" t="str">
        <f t="shared" si="5"/>
        <v>7, -6</v>
      </c>
    </row>
    <row r="103" spans="1:29" x14ac:dyDescent="0.3">
      <c r="A103" s="32"/>
      <c r="B103" s="32"/>
      <c r="C103" s="32"/>
      <c r="Z103" s="126" cm="1">
        <f t="array" ref="Z103">INDEX(Map!$B$2:$V$22,-Paths!AA103+11,Paths!AB103+11)</f>
        <v>0</v>
      </c>
      <c r="AA103" s="127">
        <f t="shared" si="3"/>
        <v>-6</v>
      </c>
      <c r="AB103" s="127">
        <f t="shared" si="4"/>
        <v>8</v>
      </c>
      <c r="AC103" s="52" t="str">
        <f t="shared" si="5"/>
        <v>8, -6</v>
      </c>
    </row>
    <row r="104" spans="1:29" x14ac:dyDescent="0.3">
      <c r="A104" s="21" cm="1">
        <f t="array" ref="A104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104" s="21" cm="1">
        <f t="array" ref="B104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104" s="19" t="str" cm="1">
        <f t="array" ref="C104">IF(MOD(ROW(),3)=2,      INDEX(Maze!A:A,QUOTIENT(ROW()+1,3) + 1),
IF(MOD(ROW(),3)=0,         INDEX(Maze!B:B,QUOTIENT(ROW()+1,3) + 1),       0))</f>
        <v>Blank_1</v>
      </c>
      <c r="Z104" s="126" cm="1">
        <f t="array" ref="Z104">INDEX(Map!$B$2:$V$22,-Paths!AA104+11,Paths!AB104+11)</f>
        <v>0</v>
      </c>
      <c r="AA104" s="127">
        <f t="shared" si="3"/>
        <v>-6</v>
      </c>
      <c r="AB104" s="127">
        <f t="shared" si="4"/>
        <v>9</v>
      </c>
      <c r="AC104" s="52" t="str">
        <f t="shared" si="5"/>
        <v>9, -6</v>
      </c>
    </row>
    <row r="105" spans="1:29" x14ac:dyDescent="0.3">
      <c r="A105" s="21" cm="1">
        <f t="array" ref="A105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-10</v>
      </c>
      <c r="B105" s="21" cm="1">
        <f t="array" ref="B105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-10</v>
      </c>
      <c r="C105" s="21" t="str" cm="1">
        <f t="array" ref="C105">IF(MOD(ROW(),3)=2,      INDEX(Maze!A:A,QUOTIENT(ROW()+1,3) + 1),
IF(MOD(ROW(),3)=0,         INDEX(Maze!B:B,QUOTIENT(ROW()+1,3) + 1),       0))</f>
        <v>Blank_1</v>
      </c>
      <c r="Z105" s="126" cm="1">
        <f t="array" ref="Z105">INDEX(Map!$B$2:$V$22,-Paths!AA105+11,Paths!AB105+11)</f>
        <v>0</v>
      </c>
      <c r="AA105" s="127">
        <f t="shared" si="3"/>
        <v>-6</v>
      </c>
      <c r="AB105" s="127">
        <f t="shared" si="4"/>
        <v>10</v>
      </c>
      <c r="AC105" s="52" t="str">
        <f t="shared" si="5"/>
        <v>10, -6</v>
      </c>
    </row>
    <row r="106" spans="1:29" x14ac:dyDescent="0.3">
      <c r="A106" s="32"/>
      <c r="B106" s="32"/>
      <c r="C106" s="32"/>
      <c r="Z106" s="126" cm="1">
        <f t="array" ref="Z106">INDEX(Map!$B$2:$V$22,-Paths!AA106+11,Paths!AB106+11)</f>
        <v>0</v>
      </c>
      <c r="AA106" s="127">
        <f t="shared" si="3"/>
        <v>-5</v>
      </c>
      <c r="AB106" s="127">
        <f t="shared" si="4"/>
        <v>-10</v>
      </c>
      <c r="AC106" s="52" t="str">
        <f t="shared" si="5"/>
        <v>-10, -5</v>
      </c>
    </row>
    <row r="107" spans="1:29" x14ac:dyDescent="0.3">
      <c r="A107" s="21" cm="1">
        <f t="array" ref="A107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107" s="21" cm="1">
        <f t="array" ref="B107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07" s="19" cm="1">
        <f t="array" ref="C107">IF(MOD(ROW(),3)=2,      INDEX(Maze!A:A,QUOTIENT(ROW()+1,3) + 1),
IF(MOD(ROW(),3)=0,         INDEX(Maze!B:B,QUOTIENT(ROW()+1,3) + 1),       0))</f>
        <v>0</v>
      </c>
      <c r="Z107" s="126" cm="1">
        <f t="array" ref="Z107">INDEX(Map!$B$2:$V$22,-Paths!AA107+11,Paths!AB107+11)</f>
        <v>0</v>
      </c>
      <c r="AA107" s="127">
        <f t="shared" si="3"/>
        <v>-5</v>
      </c>
      <c r="AB107" s="127">
        <f t="shared" si="4"/>
        <v>-9</v>
      </c>
      <c r="AC107" s="52" t="str">
        <f t="shared" si="5"/>
        <v>-9, -5</v>
      </c>
    </row>
    <row r="108" spans="1:29" x14ac:dyDescent="0.3">
      <c r="A108" s="21" cm="1">
        <f t="array" ref="A108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108" s="21" cm="1">
        <f t="array" ref="B108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08" s="21" cm="1">
        <f t="array" ref="C108">IF(MOD(ROW(),3)=2,      INDEX(Maze!A:A,QUOTIENT(ROW()+1,3) + 1),
IF(MOD(ROW(),3)=0,         INDEX(Maze!B:B,QUOTIENT(ROW()+1,3) + 1),       0))</f>
        <v>0</v>
      </c>
      <c r="Z108" s="126" cm="1">
        <f t="array" ref="Z108">INDEX(Map!$B$2:$V$22,-Paths!AA108+11,Paths!AB108+11)</f>
        <v>0</v>
      </c>
      <c r="AA108" s="127">
        <f t="shared" si="3"/>
        <v>-5</v>
      </c>
      <c r="AB108" s="127">
        <f t="shared" si="4"/>
        <v>-8</v>
      </c>
      <c r="AC108" s="52" t="str">
        <f t="shared" si="5"/>
        <v>-8, -5</v>
      </c>
    </row>
    <row r="109" spans="1:29" x14ac:dyDescent="0.3">
      <c r="A109" s="32"/>
      <c r="B109" s="32"/>
      <c r="C109" s="32"/>
      <c r="Z109" s="126" cm="1">
        <f t="array" ref="Z109">INDEX(Map!$B$2:$V$22,-Paths!AA109+11,Paths!AB109+11)</f>
        <v>0</v>
      </c>
      <c r="AA109" s="127">
        <f t="shared" si="3"/>
        <v>-5</v>
      </c>
      <c r="AB109" s="127">
        <f t="shared" si="4"/>
        <v>-7</v>
      </c>
      <c r="AC109" s="52" t="str">
        <f t="shared" si="5"/>
        <v>-7, -5</v>
      </c>
    </row>
    <row r="110" spans="1:29" x14ac:dyDescent="0.3">
      <c r="A110" s="21" cm="1">
        <f t="array" ref="A110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110" s="21" cm="1">
        <f t="array" ref="B110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10" s="19" cm="1">
        <f t="array" ref="C110">IF(MOD(ROW(),3)=2,      INDEX(Maze!A:A,QUOTIENT(ROW()+1,3) + 1),
IF(MOD(ROW(),3)=0,         INDEX(Maze!B:B,QUOTIENT(ROW()+1,3) + 1),       0))</f>
        <v>0</v>
      </c>
      <c r="Z110" s="126" cm="1">
        <f t="array" ref="Z110">INDEX(Map!$B$2:$V$22,-Paths!AA110+11,Paths!AB110+11)</f>
        <v>0</v>
      </c>
      <c r="AA110" s="127">
        <f t="shared" si="3"/>
        <v>-5</v>
      </c>
      <c r="AB110" s="127">
        <f t="shared" si="4"/>
        <v>-6</v>
      </c>
      <c r="AC110" s="52" t="str">
        <f t="shared" si="5"/>
        <v>-6, -5</v>
      </c>
    </row>
    <row r="111" spans="1:29" x14ac:dyDescent="0.3">
      <c r="A111" s="21" t="e" cm="1">
        <f t="array" ref="A111">IF(MOD(ROW(),3)=2,IF(INDEX(Maze!D$1:D$37,QUOTIENT(ROW()+1,3)+1)="",IF(INDEX(Maze!E:E,QUOTIENT(ROW()+1,3)+1)="",0,INDEX(Maze!E:E,QUOTIENT(ROW()+1,3)+1)),0),
IF(MOD(ROW(),3)=0,IF(INDEX(Maze!D$1:D$37,QUOTIENT(ROW()+1,3)+1)="",IF(INDEX(Maze!H:H,QUOTIENT(ROW()+1,3)+1)="",0,INDEX(Maze!H:H,QUOTIENT(ROW()+1,3)+1)),0)))</f>
        <v>#REF!</v>
      </c>
      <c r="B111" s="21" t="e" cm="1">
        <f t="array" ref="B111">IF(MOD(ROW(),3)=2,    IF(INDEX(Maze!D$1:D$37,QUOTIENT(ROW()+1,3)+1)="",    IF(INDEX(Maze!F:F,QUOTIENT(ROW()+1,3)+1)="",0,INDEX(Maze!F:F,QUOTIENT(ROW()+1,3)+1)),   0),
IF(MOD(ROW(),3)=0,      IF(INDEX(Maze!D$1:D$37,QUOTIENT(ROW()+1,3)+1)="",     IF(INDEX(Maze!I:I,QUOTIENT(ROW()+1,3)+1)="",0,INDEX(Maze!I:I,QUOTIENT(ROW()+1,3)+1)),   0)))</f>
        <v>#REF!</v>
      </c>
      <c r="C111" s="21" cm="1">
        <f t="array" ref="C111">IF(MOD(ROW(),3)=2,      INDEX(Maze!A:A,QUOTIENT(ROW()+1,3) + 1),
IF(MOD(ROW(),3)=0,         INDEX(Maze!B:B,QUOTIENT(ROW()+1,3) + 1),       0))</f>
        <v>0</v>
      </c>
      <c r="E111" s="13"/>
      <c r="Z111" s="126" cm="1">
        <f t="array" ref="Z111">INDEX(Map!$B$2:$V$22,-Paths!AA111+11,Paths!AB111+11)</f>
        <v>0</v>
      </c>
      <c r="AA111" s="127">
        <f t="shared" si="3"/>
        <v>-5</v>
      </c>
      <c r="AB111" s="127">
        <f t="shared" si="4"/>
        <v>-5</v>
      </c>
      <c r="AC111" s="52" t="str">
        <f t="shared" si="5"/>
        <v>-5, -5</v>
      </c>
    </row>
    <row r="112" spans="1:29" x14ac:dyDescent="0.3">
      <c r="A112" s="32"/>
      <c r="B112" s="32"/>
      <c r="C112" s="32"/>
      <c r="E112" s="13"/>
      <c r="F112" s="70"/>
      <c r="Z112" s="126" cm="1">
        <f t="array" ref="Z112">INDEX(Map!$B$2:$V$22,-Paths!AA112+11,Paths!AB112+11)</f>
        <v>0</v>
      </c>
      <c r="AA112" s="127">
        <f t="shared" si="3"/>
        <v>-5</v>
      </c>
      <c r="AB112" s="127">
        <f t="shared" si="4"/>
        <v>-4</v>
      </c>
      <c r="AC112" s="52" t="str">
        <f t="shared" si="5"/>
        <v>-4, -5</v>
      </c>
    </row>
    <row r="113" spans="1:29" x14ac:dyDescent="0.3">
      <c r="A113" s="21" cm="1">
        <f t="array" ref="A113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113" s="21" cm="1">
        <f t="array" ref="B113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13" s="19" cm="1">
        <f t="array" ref="C113">IF(MOD(ROW(),3)=2,      INDEX(Maze!A:A,QUOTIENT(ROW()+1,3) + 1),
IF(MOD(ROW(),3)=0,         INDEX(Maze!B:B,QUOTIENT(ROW()+1,3) + 1),       0))</f>
        <v>0</v>
      </c>
      <c r="Z113" s="126" cm="1">
        <f t="array" ref="Z113">INDEX(Map!$B$2:$V$22,-Paths!AA113+11,Paths!AB113+11)</f>
        <v>0</v>
      </c>
      <c r="AA113" s="127">
        <f t="shared" si="3"/>
        <v>-5</v>
      </c>
      <c r="AB113" s="127">
        <f t="shared" si="4"/>
        <v>-3</v>
      </c>
      <c r="AC113" s="52" t="str">
        <f t="shared" si="5"/>
        <v>-3, -5</v>
      </c>
    </row>
    <row r="114" spans="1:29" x14ac:dyDescent="0.3">
      <c r="A114" s="21" cm="1">
        <f t="array" ref="A114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114" s="21" cm="1">
        <f t="array" ref="B114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14" s="21" cm="1">
        <f t="array" ref="C114">IF(MOD(ROW(),3)=2,      INDEX(Maze!A:A,QUOTIENT(ROW()+1,3) + 1),
IF(MOD(ROW(),3)=0,         INDEX(Maze!B:B,QUOTIENT(ROW()+1,3) + 1),       0))</f>
        <v>0</v>
      </c>
      <c r="Z114" s="126" cm="1">
        <f t="array" ref="Z114">INDEX(Map!$B$2:$V$22,-Paths!AA114+11,Paths!AB114+11)</f>
        <v>0</v>
      </c>
      <c r="AA114" s="127">
        <f t="shared" si="3"/>
        <v>-5</v>
      </c>
      <c r="AB114" s="127">
        <f t="shared" si="4"/>
        <v>-2</v>
      </c>
      <c r="AC114" s="52" t="str">
        <f t="shared" si="5"/>
        <v>-2, -5</v>
      </c>
    </row>
    <row r="115" spans="1:29" x14ac:dyDescent="0.3">
      <c r="A115" s="32"/>
      <c r="B115" s="32"/>
      <c r="C115" s="32"/>
      <c r="Z115" s="126" cm="1">
        <f t="array" ref="Z115">INDEX(Map!$B$2:$V$22,-Paths!AA115+11,Paths!AB115+11)</f>
        <v>0</v>
      </c>
      <c r="AA115" s="127">
        <f t="shared" si="3"/>
        <v>-5</v>
      </c>
      <c r="AB115" s="127">
        <f t="shared" si="4"/>
        <v>-1</v>
      </c>
      <c r="AC115" s="52" t="str">
        <f t="shared" si="5"/>
        <v>-1, -5</v>
      </c>
    </row>
    <row r="116" spans="1:29" x14ac:dyDescent="0.3">
      <c r="A116" s="21" cm="1">
        <f t="array" ref="A116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116" s="21" cm="1">
        <f t="array" ref="B116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16" s="19" cm="1">
        <f t="array" ref="C116">IF(MOD(ROW(),3)=2,      INDEX(Maze!A:A,QUOTIENT(ROW()+1,3) + 1),
IF(MOD(ROW(),3)=0,         INDEX(Maze!B:B,QUOTIENT(ROW()+1,3) + 1),       0))</f>
        <v>0</v>
      </c>
      <c r="Z116" s="126" cm="1">
        <f t="array" ref="Z116">INDEX(Map!$B$2:$V$22,-Paths!AA116+11,Paths!AB116+11)</f>
        <v>0</v>
      </c>
      <c r="AA116" s="127">
        <f t="shared" si="3"/>
        <v>-5</v>
      </c>
      <c r="AB116" s="127">
        <f t="shared" si="4"/>
        <v>0</v>
      </c>
      <c r="AC116" s="52" t="str">
        <f t="shared" si="5"/>
        <v>0, -5</v>
      </c>
    </row>
    <row r="117" spans="1:29" x14ac:dyDescent="0.3">
      <c r="A117" s="21" cm="1">
        <f t="array" ref="A117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117" s="21" cm="1">
        <f t="array" ref="B117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17" s="21" cm="1">
        <f t="array" ref="C117">IF(MOD(ROW(),3)=2,      INDEX(Maze!A:A,QUOTIENT(ROW()+1,3) + 1),
IF(MOD(ROW(),3)=0,         INDEX(Maze!B:B,QUOTIENT(ROW()+1,3) + 1),       0))</f>
        <v>0</v>
      </c>
      <c r="Z117" s="126" cm="1">
        <f t="array" ref="Z117">INDEX(Map!$B$2:$V$22,-Paths!AA117+11,Paths!AB117+11)</f>
        <v>0</v>
      </c>
      <c r="AA117" s="127">
        <f t="shared" si="3"/>
        <v>-5</v>
      </c>
      <c r="AB117" s="127">
        <f t="shared" si="4"/>
        <v>1</v>
      </c>
      <c r="AC117" s="52" t="str">
        <f t="shared" si="5"/>
        <v>1, -5</v>
      </c>
    </row>
    <row r="118" spans="1:29" x14ac:dyDescent="0.3">
      <c r="A118" s="32"/>
      <c r="B118" s="32"/>
      <c r="C118" s="32"/>
      <c r="Z118" s="126" t="str" cm="1">
        <f t="array" ref="Z118">INDEX(Map!$B$2:$V$22,-Paths!AA118+11,Paths!AB118+11)</f>
        <v>Application5</v>
      </c>
      <c r="AA118" s="127">
        <f t="shared" si="3"/>
        <v>-5</v>
      </c>
      <c r="AB118" s="127">
        <f t="shared" si="4"/>
        <v>2</v>
      </c>
      <c r="AC118" s="52" t="str">
        <f t="shared" si="5"/>
        <v>2, -5</v>
      </c>
    </row>
    <row r="119" spans="1:29" x14ac:dyDescent="0.3">
      <c r="A119" s="21" cm="1">
        <f t="array" ref="A119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119" s="21" cm="1">
        <f t="array" ref="B119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19" s="19" cm="1">
        <f t="array" ref="C119">IF(MOD(ROW(),3)=2,      INDEX(Maze!A:A,QUOTIENT(ROW()+1,3) + 1),
IF(MOD(ROW(),3)=0,         INDEX(Maze!B:B,QUOTIENT(ROW()+1,3) + 1),       0))</f>
        <v>0</v>
      </c>
      <c r="Z119" s="126" cm="1">
        <f t="array" ref="Z119">INDEX(Map!$B$2:$V$22,-Paths!AA119+11,Paths!AB119+11)</f>
        <v>0</v>
      </c>
      <c r="AA119" s="127">
        <f t="shared" si="3"/>
        <v>-5</v>
      </c>
      <c r="AB119" s="127">
        <f t="shared" si="4"/>
        <v>3</v>
      </c>
      <c r="AC119" s="52" t="str">
        <f t="shared" si="5"/>
        <v>3, -5</v>
      </c>
    </row>
    <row r="120" spans="1:29" x14ac:dyDescent="0.3">
      <c r="A120" s="21" cm="1">
        <f t="array" ref="A120">IF(MOD(ROW(),3)=2,IF(INDEX(Maze!D:D,QUOTIENT(ROW()+1,3)+1)="",IF(INDEX(Maze!E:E,QUOTIENT(ROW()+1,3)+1)="",0,INDEX(Maze!E:E,QUOTIENT(ROW()+1,3)+1)),0),
IF(MOD(ROW(),3)=0,IF(INDEX(Maze!D:D,QUOTIENT(ROW()+1,3)+1)="",IF(INDEX(Maze!H:H,QUOTIENT(ROW()+1,3)+1)="",0,INDEX(Maze!H:H,QUOTIENT(ROW()+1,3)+1)),0)))</f>
        <v>0</v>
      </c>
      <c r="B120" s="21" cm="1">
        <f t="array" ref="B120">IF(MOD(ROW(),3)=2,    IF(INDEX(Maze!D:D,QUOTIENT(ROW()+1,3)+1)="",    IF(INDEX(Maze!F:F,QUOTIENT(ROW()+1,3)+1)="",0,INDEX(Maze!F:F,QUOTIENT(ROW()+1,3)+1)),   0),
IF(MOD(ROW(),3)=0,      IF(INDEX(Maze!D:D,QUOTIENT(ROW()+1,3)+1)="",     IF(INDEX(Maze!I:I,QUOTIENT(ROW()+1,3)+1)="",0,INDEX(Maze!I:I,QUOTIENT(ROW()+1,3)+1)),   0)))</f>
        <v>0</v>
      </c>
      <c r="C120" s="21" cm="1">
        <f t="array" ref="C120">IF(MOD(ROW(),3)=2,      INDEX(Maze!A:A,QUOTIENT(ROW()+1,3) + 1),
IF(MOD(ROW(),3)=0,         INDEX(Maze!B:B,QUOTIENT(ROW()+1,3) + 1),       0))</f>
        <v>0</v>
      </c>
      <c r="Z120" s="126" cm="1">
        <f t="array" ref="Z120">INDEX(Map!$B$2:$V$22,-Paths!AA120+11,Paths!AB120+11)</f>
        <v>0</v>
      </c>
      <c r="AA120" s="127">
        <f t="shared" si="3"/>
        <v>-5</v>
      </c>
      <c r="AB120" s="127">
        <f t="shared" si="4"/>
        <v>4</v>
      </c>
      <c r="AC120" s="52" t="str">
        <f t="shared" si="5"/>
        <v>4, -5</v>
      </c>
    </row>
    <row r="121" spans="1:29" x14ac:dyDescent="0.3">
      <c r="A121" s="32"/>
      <c r="B121" s="32"/>
      <c r="C121" s="33"/>
      <c r="Z121" s="126" cm="1">
        <f t="array" ref="Z121">INDEX(Map!$B$2:$V$22,-Paths!AA121+11,Paths!AB121+11)</f>
        <v>0</v>
      </c>
      <c r="AA121" s="127">
        <f t="shared" si="3"/>
        <v>-5</v>
      </c>
      <c r="AB121" s="127">
        <f t="shared" si="4"/>
        <v>5</v>
      </c>
      <c r="AC121" s="52" t="str">
        <f t="shared" si="5"/>
        <v>5, -5</v>
      </c>
    </row>
    <row r="122" spans="1:29" x14ac:dyDescent="0.3">
      <c r="A122" s="32"/>
      <c r="B122" s="33"/>
      <c r="C122" s="33"/>
      <c r="D122" s="3" t="s">
        <v>94</v>
      </c>
      <c r="Z122" s="126" cm="1">
        <f t="array" ref="Z122">INDEX(Map!$B$2:$V$22,-Paths!AA122+11,Paths!AB122+11)</f>
        <v>0</v>
      </c>
      <c r="AA122" s="127">
        <f t="shared" si="3"/>
        <v>-5</v>
      </c>
      <c r="AB122" s="127">
        <f t="shared" si="4"/>
        <v>6</v>
      </c>
      <c r="AC122" s="52" t="str">
        <f t="shared" si="5"/>
        <v>6, -5</v>
      </c>
    </row>
    <row r="123" spans="1:29" x14ac:dyDescent="0.3">
      <c r="A123" s="19">
        <v>3</v>
      </c>
      <c r="B123" s="20">
        <v>6</v>
      </c>
      <c r="C123" s="26" t="s">
        <v>44</v>
      </c>
      <c r="D123" s="3" t="s">
        <v>90</v>
      </c>
      <c r="Z123" s="126" cm="1">
        <f t="array" ref="Z123">INDEX(Map!$B$2:$V$22,-Paths!AA123+11,Paths!AB123+11)</f>
        <v>0</v>
      </c>
      <c r="AA123" s="127">
        <f t="shared" si="3"/>
        <v>-5</v>
      </c>
      <c r="AB123" s="127">
        <f t="shared" si="4"/>
        <v>7</v>
      </c>
      <c r="AC123" s="52" t="str">
        <f t="shared" si="5"/>
        <v>7, -5</v>
      </c>
    </row>
    <row r="124" spans="1:29" x14ac:dyDescent="0.3">
      <c r="A124" s="21">
        <v>3</v>
      </c>
      <c r="B124" s="25">
        <v>7</v>
      </c>
      <c r="C124" s="26" t="s">
        <v>19</v>
      </c>
      <c r="D124" s="3" t="s">
        <v>44</v>
      </c>
      <c r="Z124" s="126" cm="1">
        <f t="array" ref="Z124">INDEX(Map!$B$2:$V$22,-Paths!AA124+11,Paths!AB124+11)</f>
        <v>0</v>
      </c>
      <c r="AA124" s="127">
        <f t="shared" si="3"/>
        <v>-5</v>
      </c>
      <c r="AB124" s="127">
        <f t="shared" si="4"/>
        <v>8</v>
      </c>
      <c r="AC124" s="52" t="str">
        <f t="shared" si="5"/>
        <v>8, -5</v>
      </c>
    </row>
    <row r="125" spans="1:29" x14ac:dyDescent="0.3">
      <c r="A125" s="21">
        <v>1</v>
      </c>
      <c r="B125" s="22">
        <v>7</v>
      </c>
      <c r="C125" s="26"/>
      <c r="D125" s="3" t="s">
        <v>19</v>
      </c>
      <c r="Z125" s="126" cm="1">
        <f t="array" ref="Z125">INDEX(Map!$B$2:$V$22,-Paths!AA125+11,Paths!AB125+11)</f>
        <v>0</v>
      </c>
      <c r="AA125" s="127">
        <f t="shared" si="3"/>
        <v>-5</v>
      </c>
      <c r="AB125" s="127">
        <f t="shared" si="4"/>
        <v>9</v>
      </c>
      <c r="AC125" s="52" t="str">
        <f t="shared" si="5"/>
        <v>9, -5</v>
      </c>
    </row>
    <row r="126" spans="1:29" x14ac:dyDescent="0.3">
      <c r="A126" s="21">
        <v>1</v>
      </c>
      <c r="B126" s="21">
        <v>6</v>
      </c>
      <c r="C126" s="22"/>
      <c r="Z126" s="126" cm="1">
        <f t="array" ref="Z126">INDEX(Map!$B$2:$V$22,-Paths!AA126+11,Paths!AB126+11)</f>
        <v>0</v>
      </c>
      <c r="AA126" s="127">
        <f t="shared" si="3"/>
        <v>-5</v>
      </c>
      <c r="AB126" s="127">
        <f t="shared" si="4"/>
        <v>10</v>
      </c>
      <c r="AC126" s="52" t="str">
        <f t="shared" si="5"/>
        <v>10, -5</v>
      </c>
    </row>
    <row r="127" spans="1:29" x14ac:dyDescent="0.3">
      <c r="A127" s="21"/>
      <c r="B127" s="21"/>
      <c r="C127" s="22"/>
      <c r="Z127" s="126" cm="1">
        <f t="array" ref="Z127">INDEX(Map!$B$2:$V$22,-Paths!AA127+11,Paths!AB127+11)</f>
        <v>0</v>
      </c>
      <c r="AA127" s="127">
        <f t="shared" si="3"/>
        <v>-4</v>
      </c>
      <c r="AB127" s="127">
        <f t="shared" si="4"/>
        <v>-10</v>
      </c>
      <c r="AC127" s="52" t="str">
        <f t="shared" si="5"/>
        <v>-10, -4</v>
      </c>
    </row>
    <row r="128" spans="1:29" x14ac:dyDescent="0.3">
      <c r="A128" s="32"/>
      <c r="B128" s="32"/>
      <c r="C128" s="32"/>
      <c r="D128" s="3" t="s">
        <v>95</v>
      </c>
      <c r="Z128" s="126" cm="1">
        <f t="array" ref="Z128">INDEX(Map!$B$2:$V$22,-Paths!AA128+11,Paths!AB128+11)</f>
        <v>0</v>
      </c>
      <c r="AA128" s="127">
        <f t="shared" si="3"/>
        <v>-4</v>
      </c>
      <c r="AB128" s="127">
        <f t="shared" si="4"/>
        <v>-9</v>
      </c>
      <c r="AC128" s="52" t="str">
        <f t="shared" si="5"/>
        <v>-9, -4</v>
      </c>
    </row>
    <row r="129" spans="1:29" x14ac:dyDescent="0.3">
      <c r="A129" s="19">
        <v>3</v>
      </c>
      <c r="B129" s="20">
        <v>6</v>
      </c>
      <c r="C129" s="20"/>
      <c r="D129" s="3" t="s">
        <v>90</v>
      </c>
      <c r="Z129" s="126" cm="1">
        <f t="array" ref="Z129">INDEX(Map!$B$2:$V$22,-Paths!AA129+11,Paths!AB129+11)</f>
        <v>0</v>
      </c>
      <c r="AA129" s="127">
        <f t="shared" ref="AA129:AA192" si="6">QUOTIENT(ROW(AB129)-1,21)-10</f>
        <v>-4</v>
      </c>
      <c r="AB129" s="127">
        <f t="shared" ref="AB129:AB192" si="7">MOD(ROW(AB129)-1,21)-10</f>
        <v>-8</v>
      </c>
      <c r="AC129" s="52" t="str">
        <f t="shared" si="5"/>
        <v>-8, -4</v>
      </c>
    </row>
    <row r="130" spans="1:29" x14ac:dyDescent="0.3">
      <c r="A130" s="21">
        <v>3</v>
      </c>
      <c r="B130" s="25">
        <v>7</v>
      </c>
      <c r="C130" s="26" t="s">
        <v>44</v>
      </c>
      <c r="D130" s="3" t="s">
        <v>44</v>
      </c>
      <c r="Z130" s="126" cm="1">
        <f t="array" ref="Z130">INDEX(Map!$B$2:$V$22,-Paths!AA130+11,Paths!AB130+11)</f>
        <v>0</v>
      </c>
      <c r="AA130" s="127">
        <f t="shared" si="6"/>
        <v>-4</v>
      </c>
      <c r="AB130" s="127">
        <f t="shared" si="7"/>
        <v>-7</v>
      </c>
      <c r="AC130" s="52" t="str">
        <f t="shared" ref="AC130:AC193" si="8">AB130&amp;", "&amp;AA130</f>
        <v>-7, -4</v>
      </c>
    </row>
    <row r="131" spans="1:29" x14ac:dyDescent="0.3">
      <c r="A131" s="21">
        <v>1</v>
      </c>
      <c r="B131" s="22">
        <v>7</v>
      </c>
      <c r="C131" s="26" t="s">
        <v>19</v>
      </c>
      <c r="D131" s="3" t="s">
        <v>19</v>
      </c>
      <c r="Z131" s="126" cm="1">
        <f t="array" ref="Z131">INDEX(Map!$B$2:$V$22,-Paths!AA131+11,Paths!AB131+11)</f>
        <v>0</v>
      </c>
      <c r="AA131" s="127">
        <f t="shared" si="6"/>
        <v>-4</v>
      </c>
      <c r="AB131" s="127">
        <f t="shared" si="7"/>
        <v>-6</v>
      </c>
      <c r="AC131" s="52" t="str">
        <f t="shared" si="8"/>
        <v>-6, -4</v>
      </c>
    </row>
    <row r="132" spans="1:29" x14ac:dyDescent="0.3">
      <c r="A132" s="21">
        <v>1</v>
      </c>
      <c r="B132" s="21">
        <v>6</v>
      </c>
      <c r="C132" s="22"/>
      <c r="Z132" s="126" cm="1">
        <f t="array" ref="Z132">INDEX(Map!$B$2:$V$22,-Paths!AA132+11,Paths!AB132+11)</f>
        <v>0</v>
      </c>
      <c r="AA132" s="127">
        <f t="shared" si="6"/>
        <v>-4</v>
      </c>
      <c r="AB132" s="127">
        <f t="shared" si="7"/>
        <v>-5</v>
      </c>
      <c r="AC132" s="52" t="str">
        <f t="shared" si="8"/>
        <v>-5, -4</v>
      </c>
    </row>
    <row r="133" spans="1:29" x14ac:dyDescent="0.3">
      <c r="A133" s="21"/>
      <c r="B133" s="21"/>
      <c r="C133" s="22"/>
      <c r="Z133" s="126" cm="1">
        <f t="array" ref="Z133">INDEX(Map!$B$2:$V$22,-Paths!AA133+11,Paths!AB133+11)</f>
        <v>0</v>
      </c>
      <c r="AA133" s="127">
        <f t="shared" si="6"/>
        <v>-4</v>
      </c>
      <c r="AB133" s="127">
        <f t="shared" si="7"/>
        <v>-4</v>
      </c>
      <c r="AC133" s="52" t="str">
        <f t="shared" si="8"/>
        <v>-4, -4</v>
      </c>
    </row>
    <row r="134" spans="1:29" x14ac:dyDescent="0.3">
      <c r="A134" s="19"/>
      <c r="B134" s="19"/>
      <c r="C134" s="20"/>
      <c r="Z134" s="126" cm="1">
        <f t="array" ref="Z134">INDEX(Map!$B$2:$V$22,-Paths!AA134+11,Paths!AB134+11)</f>
        <v>0</v>
      </c>
      <c r="AA134" s="127">
        <f t="shared" si="6"/>
        <v>-4</v>
      </c>
      <c r="AB134" s="127">
        <f t="shared" si="7"/>
        <v>-3</v>
      </c>
      <c r="AC134" s="52" t="str">
        <f t="shared" si="8"/>
        <v>-3, -4</v>
      </c>
    </row>
    <row r="135" spans="1:29" x14ac:dyDescent="0.3">
      <c r="A135" s="27"/>
      <c r="B135" s="27"/>
      <c r="C135" s="28"/>
      <c r="Z135" s="126" cm="1">
        <f t="array" ref="Z135">INDEX(Map!$B$2:$V$22,-Paths!AA135+11,Paths!AB135+11)</f>
        <v>0</v>
      </c>
      <c r="AA135" s="127">
        <f t="shared" si="6"/>
        <v>-4</v>
      </c>
      <c r="AB135" s="127">
        <f t="shared" si="7"/>
        <v>-2</v>
      </c>
      <c r="AC135" s="52" t="str">
        <f t="shared" si="8"/>
        <v>-2, -4</v>
      </c>
    </row>
    <row r="136" spans="1:29" x14ac:dyDescent="0.3">
      <c r="A136" s="32"/>
      <c r="B136" s="33"/>
      <c r="C136" s="33"/>
      <c r="Z136" s="126" cm="1">
        <f t="array" ref="Z136">INDEX(Map!$B$2:$V$22,-Paths!AA136+11,Paths!AB136+11)</f>
        <v>0</v>
      </c>
      <c r="AA136" s="127">
        <f t="shared" si="6"/>
        <v>-4</v>
      </c>
      <c r="AB136" s="127">
        <f t="shared" si="7"/>
        <v>-1</v>
      </c>
      <c r="AC136" s="52" t="str">
        <f t="shared" si="8"/>
        <v>-1, -4</v>
      </c>
    </row>
    <row r="137" spans="1:29" x14ac:dyDescent="0.3">
      <c r="A137" s="19"/>
      <c r="B137" s="19"/>
      <c r="C137" s="20"/>
      <c r="Z137" s="126" cm="1">
        <f t="array" ref="Z137">INDEX(Map!$B$2:$V$22,-Paths!AA137+11,Paths!AB137+11)</f>
        <v>0</v>
      </c>
      <c r="AA137" s="127">
        <f t="shared" si="6"/>
        <v>-4</v>
      </c>
      <c r="AB137" s="127">
        <f t="shared" si="7"/>
        <v>0</v>
      </c>
      <c r="AC137" s="52" t="str">
        <f t="shared" si="8"/>
        <v>0, -4</v>
      </c>
    </row>
    <row r="138" spans="1:29" x14ac:dyDescent="0.3">
      <c r="A138" s="27"/>
      <c r="B138" s="27"/>
      <c r="C138" s="28"/>
      <c r="Z138" s="126" cm="1">
        <f t="array" ref="Z138">INDEX(Map!$B$2:$V$22,-Paths!AA138+11,Paths!AB138+11)</f>
        <v>0</v>
      </c>
      <c r="AA138" s="127">
        <f t="shared" si="6"/>
        <v>-4</v>
      </c>
      <c r="AB138" s="127">
        <f t="shared" si="7"/>
        <v>1</v>
      </c>
      <c r="AC138" s="52" t="str">
        <f t="shared" si="8"/>
        <v>1, -4</v>
      </c>
    </row>
    <row r="139" spans="1:29" x14ac:dyDescent="0.3">
      <c r="A139" s="32"/>
      <c r="B139" s="33"/>
      <c r="C139" s="33"/>
      <c r="Z139" s="126" t="str" cm="1">
        <f t="array" ref="Z139">INDEX(Map!$B$2:$V$22,-Paths!AA139+11,Paths!AB139+11)</f>
        <v>Application4</v>
      </c>
      <c r="AA139" s="127">
        <f t="shared" si="6"/>
        <v>-4</v>
      </c>
      <c r="AB139" s="127">
        <f t="shared" si="7"/>
        <v>2</v>
      </c>
      <c r="AC139" s="52" t="str">
        <f t="shared" si="8"/>
        <v>2, -4</v>
      </c>
    </row>
    <row r="140" spans="1:29" x14ac:dyDescent="0.3">
      <c r="A140" s="19"/>
      <c r="B140" s="19"/>
      <c r="C140" s="20"/>
      <c r="Z140" s="126" cm="1">
        <f t="array" ref="Z140">INDEX(Map!$B$2:$V$22,-Paths!AA140+11,Paths!AB140+11)</f>
        <v>0</v>
      </c>
      <c r="AA140" s="127">
        <f t="shared" si="6"/>
        <v>-4</v>
      </c>
      <c r="AB140" s="127">
        <f t="shared" si="7"/>
        <v>3</v>
      </c>
      <c r="AC140" s="52" t="str">
        <f t="shared" si="8"/>
        <v>3, -4</v>
      </c>
    </row>
    <row r="141" spans="1:29" x14ac:dyDescent="0.3">
      <c r="A141" s="27"/>
      <c r="B141" s="27"/>
      <c r="C141" s="28"/>
      <c r="Z141" s="126" cm="1">
        <f t="array" ref="Z141">INDEX(Map!$B$2:$V$22,-Paths!AA141+11,Paths!AB141+11)</f>
        <v>0</v>
      </c>
      <c r="AA141" s="127">
        <f t="shared" si="6"/>
        <v>-4</v>
      </c>
      <c r="AB141" s="127">
        <f t="shared" si="7"/>
        <v>4</v>
      </c>
      <c r="AC141" s="52" t="str">
        <f t="shared" si="8"/>
        <v>4, -4</v>
      </c>
    </row>
    <row r="142" spans="1:29" ht="14.4" customHeight="1" x14ac:dyDescent="0.3">
      <c r="A142" s="32"/>
      <c r="B142" s="33"/>
      <c r="C142" s="33"/>
      <c r="Z142" s="126" cm="1">
        <f t="array" ref="Z142">INDEX(Map!$B$2:$V$22,-Paths!AA142+11,Paths!AB142+11)</f>
        <v>0</v>
      </c>
      <c r="AA142" s="127">
        <f t="shared" si="6"/>
        <v>-4</v>
      </c>
      <c r="AB142" s="127">
        <f t="shared" si="7"/>
        <v>5</v>
      </c>
      <c r="AC142" s="52" t="str">
        <f t="shared" si="8"/>
        <v>5, -4</v>
      </c>
    </row>
    <row r="143" spans="1:29" x14ac:dyDescent="0.3">
      <c r="A143" s="19"/>
      <c r="B143" s="19"/>
      <c r="C143" s="20"/>
      <c r="Z143" s="126" cm="1">
        <f t="array" ref="Z143">INDEX(Map!$B$2:$V$22,-Paths!AA143+11,Paths!AB143+11)</f>
        <v>0</v>
      </c>
      <c r="AA143" s="127">
        <f t="shared" si="6"/>
        <v>-4</v>
      </c>
      <c r="AB143" s="127">
        <f t="shared" si="7"/>
        <v>6</v>
      </c>
      <c r="AC143" s="52" t="str">
        <f t="shared" si="8"/>
        <v>6, -4</v>
      </c>
    </row>
    <row r="144" spans="1:29" x14ac:dyDescent="0.3">
      <c r="A144" s="27"/>
      <c r="B144" s="27"/>
      <c r="C144" s="28"/>
      <c r="Z144" s="126" cm="1">
        <f t="array" ref="Z144">INDEX(Map!$B$2:$V$22,-Paths!AA144+11,Paths!AB144+11)</f>
        <v>0</v>
      </c>
      <c r="AA144" s="127">
        <f t="shared" si="6"/>
        <v>-4</v>
      </c>
      <c r="AB144" s="127">
        <f t="shared" si="7"/>
        <v>7</v>
      </c>
      <c r="AC144" s="52" t="str">
        <f t="shared" si="8"/>
        <v>7, -4</v>
      </c>
    </row>
    <row r="145" spans="1:29" x14ac:dyDescent="0.3">
      <c r="A145" s="32"/>
      <c r="B145" s="33"/>
      <c r="C145" s="33"/>
      <c r="Z145" s="126" cm="1">
        <f t="array" ref="Z145">INDEX(Map!$B$2:$V$22,-Paths!AA145+11,Paths!AB145+11)</f>
        <v>0</v>
      </c>
      <c r="AA145" s="127">
        <f t="shared" si="6"/>
        <v>-4</v>
      </c>
      <c r="AB145" s="127">
        <f t="shared" si="7"/>
        <v>8</v>
      </c>
      <c r="AC145" s="52" t="str">
        <f t="shared" si="8"/>
        <v>8, -4</v>
      </c>
    </row>
    <row r="146" spans="1:29" x14ac:dyDescent="0.3">
      <c r="A146" s="19"/>
      <c r="B146" s="19"/>
      <c r="C146" s="20"/>
      <c r="Z146" s="126" cm="1">
        <f t="array" ref="Z146">INDEX(Map!$B$2:$V$22,-Paths!AA146+11,Paths!AB146+11)</f>
        <v>0</v>
      </c>
      <c r="AA146" s="127">
        <f t="shared" si="6"/>
        <v>-4</v>
      </c>
      <c r="AB146" s="127">
        <f t="shared" si="7"/>
        <v>9</v>
      </c>
      <c r="AC146" s="52" t="str">
        <f t="shared" si="8"/>
        <v>9, -4</v>
      </c>
    </row>
    <row r="147" spans="1:29" x14ac:dyDescent="0.3">
      <c r="A147" s="27"/>
      <c r="B147" s="27"/>
      <c r="C147" s="28"/>
      <c r="Z147" s="126" cm="1">
        <f t="array" ref="Z147">INDEX(Map!$B$2:$V$22,-Paths!AA147+11,Paths!AB147+11)</f>
        <v>0</v>
      </c>
      <c r="AA147" s="127">
        <f t="shared" si="6"/>
        <v>-4</v>
      </c>
      <c r="AB147" s="127">
        <f t="shared" si="7"/>
        <v>10</v>
      </c>
      <c r="AC147" s="52" t="str">
        <f t="shared" si="8"/>
        <v>10, -4</v>
      </c>
    </row>
    <row r="148" spans="1:29" x14ac:dyDescent="0.3">
      <c r="A148" s="32"/>
      <c r="B148" s="33"/>
      <c r="C148" s="33"/>
      <c r="Z148" s="126" cm="1">
        <f t="array" ref="Z148">INDEX(Map!$B$2:$V$22,-Paths!AA148+11,Paths!AB148+11)</f>
        <v>0</v>
      </c>
      <c r="AA148" s="127">
        <f t="shared" si="6"/>
        <v>-3</v>
      </c>
      <c r="AB148" s="127">
        <f t="shared" si="7"/>
        <v>-10</v>
      </c>
      <c r="AC148" s="52" t="str">
        <f t="shared" si="8"/>
        <v>-10, -3</v>
      </c>
    </row>
    <row r="149" spans="1:29" x14ac:dyDescent="0.3">
      <c r="A149" s="19"/>
      <c r="B149" s="19"/>
      <c r="C149" s="20"/>
      <c r="Z149" s="126" cm="1">
        <f t="array" ref="Z149">INDEX(Map!$B$2:$V$22,-Paths!AA149+11,Paths!AB149+11)</f>
        <v>0</v>
      </c>
      <c r="AA149" s="127">
        <f t="shared" si="6"/>
        <v>-3</v>
      </c>
      <c r="AB149" s="127">
        <f t="shared" si="7"/>
        <v>-9</v>
      </c>
      <c r="AC149" s="52" t="str">
        <f t="shared" si="8"/>
        <v>-9, -3</v>
      </c>
    </row>
    <row r="150" spans="1:29" x14ac:dyDescent="0.3">
      <c r="A150" s="27"/>
      <c r="B150" s="27"/>
      <c r="C150" s="28"/>
      <c r="Z150" s="126" cm="1">
        <f t="array" ref="Z150">INDEX(Map!$B$2:$V$22,-Paths!AA150+11,Paths!AB150+11)</f>
        <v>0</v>
      </c>
      <c r="AA150" s="127">
        <f t="shared" si="6"/>
        <v>-3</v>
      </c>
      <c r="AB150" s="127">
        <f t="shared" si="7"/>
        <v>-8</v>
      </c>
      <c r="AC150" s="52" t="str">
        <f t="shared" si="8"/>
        <v>-8, -3</v>
      </c>
    </row>
    <row r="151" spans="1:29" x14ac:dyDescent="0.3">
      <c r="A151" s="32"/>
      <c r="B151" s="33"/>
      <c r="C151" s="33"/>
      <c r="Z151" s="126" cm="1">
        <f t="array" ref="Z151">INDEX(Map!$B$2:$V$22,-Paths!AA151+11,Paths!AB151+11)</f>
        <v>0</v>
      </c>
      <c r="AA151" s="127">
        <f t="shared" si="6"/>
        <v>-3</v>
      </c>
      <c r="AB151" s="127">
        <f t="shared" si="7"/>
        <v>-7</v>
      </c>
      <c r="AC151" s="52" t="str">
        <f t="shared" si="8"/>
        <v>-7, -3</v>
      </c>
    </row>
    <row r="152" spans="1:29" x14ac:dyDescent="0.3">
      <c r="A152" s="19"/>
      <c r="B152" s="19"/>
      <c r="C152" s="20"/>
      <c r="Z152" s="126" cm="1">
        <f t="array" ref="Z152">INDEX(Map!$B$2:$V$22,-Paths!AA152+11,Paths!AB152+11)</f>
        <v>0</v>
      </c>
      <c r="AA152" s="127">
        <f t="shared" si="6"/>
        <v>-3</v>
      </c>
      <c r="AB152" s="127">
        <f t="shared" si="7"/>
        <v>-6</v>
      </c>
      <c r="AC152" s="52" t="str">
        <f t="shared" si="8"/>
        <v>-6, -3</v>
      </c>
    </row>
    <row r="153" spans="1:29" x14ac:dyDescent="0.3">
      <c r="A153" s="27"/>
      <c r="B153" s="27"/>
      <c r="C153" s="28"/>
      <c r="Z153" s="126" cm="1">
        <f t="array" ref="Z153">INDEX(Map!$B$2:$V$22,-Paths!AA153+11,Paths!AB153+11)</f>
        <v>0</v>
      </c>
      <c r="AA153" s="127">
        <f t="shared" si="6"/>
        <v>-3</v>
      </c>
      <c r="AB153" s="127">
        <f t="shared" si="7"/>
        <v>-5</v>
      </c>
      <c r="AC153" s="52" t="str">
        <f t="shared" si="8"/>
        <v>-5, -3</v>
      </c>
    </row>
    <row r="154" spans="1:29" x14ac:dyDescent="0.3">
      <c r="A154" s="32"/>
      <c r="B154" s="33"/>
      <c r="C154" s="33"/>
      <c r="Z154" s="126" cm="1">
        <f t="array" ref="Z154">INDEX(Map!$B$2:$V$22,-Paths!AA154+11,Paths!AB154+11)</f>
        <v>0</v>
      </c>
      <c r="AA154" s="127">
        <f t="shared" si="6"/>
        <v>-3</v>
      </c>
      <c r="AB154" s="127">
        <f t="shared" si="7"/>
        <v>-4</v>
      </c>
      <c r="AC154" s="52" t="str">
        <f t="shared" si="8"/>
        <v>-4, -3</v>
      </c>
    </row>
    <row r="155" spans="1:29" x14ac:dyDescent="0.3">
      <c r="A155" s="19"/>
      <c r="B155" s="19"/>
      <c r="C155" s="20"/>
      <c r="Z155" s="126" cm="1">
        <f t="array" ref="Z155">INDEX(Map!$B$2:$V$22,-Paths!AA155+11,Paths!AB155+11)</f>
        <v>0</v>
      </c>
      <c r="AA155" s="127">
        <f t="shared" si="6"/>
        <v>-3</v>
      </c>
      <c r="AB155" s="127">
        <f t="shared" si="7"/>
        <v>-3</v>
      </c>
      <c r="AC155" s="52" t="str">
        <f t="shared" si="8"/>
        <v>-3, -3</v>
      </c>
    </row>
    <row r="156" spans="1:29" x14ac:dyDescent="0.3">
      <c r="A156" s="27"/>
      <c r="B156" s="27"/>
      <c r="C156" s="28"/>
      <c r="Z156" s="126" cm="1">
        <f t="array" ref="Z156">INDEX(Map!$B$2:$V$22,-Paths!AA156+11,Paths!AB156+11)</f>
        <v>0</v>
      </c>
      <c r="AA156" s="127">
        <f t="shared" si="6"/>
        <v>-3</v>
      </c>
      <c r="AB156" s="127">
        <f t="shared" si="7"/>
        <v>-2</v>
      </c>
      <c r="AC156" s="52" t="str">
        <f t="shared" si="8"/>
        <v>-2, -3</v>
      </c>
    </row>
    <row r="157" spans="1:29" x14ac:dyDescent="0.3">
      <c r="A157" s="32"/>
      <c r="B157" s="33"/>
      <c r="C157" s="33"/>
      <c r="Z157" s="126" cm="1">
        <f t="array" ref="Z157">INDEX(Map!$B$2:$V$22,-Paths!AA157+11,Paths!AB157+11)</f>
        <v>0</v>
      </c>
      <c r="AA157" s="127">
        <f t="shared" si="6"/>
        <v>-3</v>
      </c>
      <c r="AB157" s="127">
        <f t="shared" si="7"/>
        <v>-1</v>
      </c>
      <c r="AC157" s="52" t="str">
        <f t="shared" si="8"/>
        <v>-1, -3</v>
      </c>
    </row>
    <row r="158" spans="1:29" x14ac:dyDescent="0.3">
      <c r="A158" s="19"/>
      <c r="B158" s="19"/>
      <c r="C158" s="20"/>
      <c r="Z158" s="126" cm="1">
        <f t="array" ref="Z158">INDEX(Map!$B$2:$V$22,-Paths!AA158+11,Paths!AB158+11)</f>
        <v>0</v>
      </c>
      <c r="AA158" s="127">
        <f t="shared" si="6"/>
        <v>-3</v>
      </c>
      <c r="AB158" s="127">
        <f t="shared" si="7"/>
        <v>0</v>
      </c>
      <c r="AC158" s="52" t="str">
        <f t="shared" si="8"/>
        <v>0, -3</v>
      </c>
    </row>
    <row r="159" spans="1:29" x14ac:dyDescent="0.3">
      <c r="A159" s="27"/>
      <c r="B159" s="27"/>
      <c r="C159" s="28"/>
      <c r="Z159" s="126" cm="1">
        <f t="array" ref="Z159">INDEX(Map!$B$2:$V$22,-Paths!AA159+11,Paths!AB159+11)</f>
        <v>0</v>
      </c>
      <c r="AA159" s="127">
        <f t="shared" si="6"/>
        <v>-3</v>
      </c>
      <c r="AB159" s="127">
        <f t="shared" si="7"/>
        <v>1</v>
      </c>
      <c r="AC159" s="52" t="str">
        <f t="shared" si="8"/>
        <v>1, -3</v>
      </c>
    </row>
    <row r="160" spans="1:29" x14ac:dyDescent="0.3">
      <c r="A160" s="32"/>
      <c r="B160" s="33"/>
      <c r="C160" s="33"/>
      <c r="Z160" s="126" t="str" cm="1">
        <f t="array" ref="Z160">INDEX(Map!$B$2:$V$22,-Paths!AA160+11,Paths!AB160+11)</f>
        <v>Application3</v>
      </c>
      <c r="AA160" s="127">
        <f t="shared" si="6"/>
        <v>-3</v>
      </c>
      <c r="AB160" s="127">
        <f t="shared" si="7"/>
        <v>2</v>
      </c>
      <c r="AC160" s="52" t="str">
        <f t="shared" si="8"/>
        <v>2, -3</v>
      </c>
    </row>
    <row r="161" spans="1:29" x14ac:dyDescent="0.3">
      <c r="A161" s="19"/>
      <c r="B161" s="19"/>
      <c r="C161" s="20"/>
      <c r="Z161" s="126" cm="1">
        <f t="array" ref="Z161">INDEX(Map!$B$2:$V$22,-Paths!AA161+11,Paths!AB161+11)</f>
        <v>0</v>
      </c>
      <c r="AA161" s="127">
        <f t="shared" si="6"/>
        <v>-3</v>
      </c>
      <c r="AB161" s="127">
        <f t="shared" si="7"/>
        <v>3</v>
      </c>
      <c r="AC161" s="52" t="str">
        <f t="shared" si="8"/>
        <v>3, -3</v>
      </c>
    </row>
    <row r="162" spans="1:29" x14ac:dyDescent="0.3">
      <c r="A162" s="27"/>
      <c r="B162" s="27"/>
      <c r="C162" s="28"/>
      <c r="Z162" s="126" cm="1">
        <f t="array" ref="Z162">INDEX(Map!$B$2:$V$22,-Paths!AA162+11,Paths!AB162+11)</f>
        <v>0</v>
      </c>
      <c r="AA162" s="127">
        <f t="shared" si="6"/>
        <v>-3</v>
      </c>
      <c r="AB162" s="127">
        <f t="shared" si="7"/>
        <v>4</v>
      </c>
      <c r="AC162" s="52" t="str">
        <f t="shared" si="8"/>
        <v>4, -3</v>
      </c>
    </row>
    <row r="163" spans="1:29" x14ac:dyDescent="0.3">
      <c r="A163" s="32"/>
      <c r="B163" s="33"/>
      <c r="C163" s="33"/>
      <c r="Z163" s="126" cm="1">
        <f t="array" ref="Z163">INDEX(Map!$B$2:$V$22,-Paths!AA163+11,Paths!AB163+11)</f>
        <v>0</v>
      </c>
      <c r="AA163" s="127">
        <f t="shared" si="6"/>
        <v>-3</v>
      </c>
      <c r="AB163" s="127">
        <f t="shared" si="7"/>
        <v>5</v>
      </c>
      <c r="AC163" s="52" t="str">
        <f t="shared" si="8"/>
        <v>5, -3</v>
      </c>
    </row>
    <row r="164" spans="1:29" x14ac:dyDescent="0.3">
      <c r="A164" s="19"/>
      <c r="B164" s="19"/>
      <c r="C164" s="20"/>
      <c r="Z164" s="126" cm="1">
        <f t="array" ref="Z164">INDEX(Map!$B$2:$V$22,-Paths!AA164+11,Paths!AB164+11)</f>
        <v>0</v>
      </c>
      <c r="AA164" s="127">
        <f t="shared" si="6"/>
        <v>-3</v>
      </c>
      <c r="AB164" s="127">
        <f t="shared" si="7"/>
        <v>6</v>
      </c>
      <c r="AC164" s="52" t="str">
        <f t="shared" si="8"/>
        <v>6, -3</v>
      </c>
    </row>
    <row r="165" spans="1:29" x14ac:dyDescent="0.3">
      <c r="A165" s="27"/>
      <c r="B165" s="27"/>
      <c r="C165" s="28"/>
      <c r="Z165" s="126" cm="1">
        <f t="array" ref="Z165">INDEX(Map!$B$2:$V$22,-Paths!AA165+11,Paths!AB165+11)</f>
        <v>0</v>
      </c>
      <c r="AA165" s="127">
        <f t="shared" si="6"/>
        <v>-3</v>
      </c>
      <c r="AB165" s="127">
        <f t="shared" si="7"/>
        <v>7</v>
      </c>
      <c r="AC165" s="52" t="str">
        <f t="shared" si="8"/>
        <v>7, -3</v>
      </c>
    </row>
    <row r="166" spans="1:29" x14ac:dyDescent="0.3">
      <c r="A166" s="32"/>
      <c r="B166" s="33"/>
      <c r="C166" s="33"/>
      <c r="Z166" s="126" cm="1">
        <f t="array" ref="Z166">INDEX(Map!$B$2:$V$22,-Paths!AA166+11,Paths!AB166+11)</f>
        <v>0</v>
      </c>
      <c r="AA166" s="127">
        <f t="shared" si="6"/>
        <v>-3</v>
      </c>
      <c r="AB166" s="127">
        <f t="shared" si="7"/>
        <v>8</v>
      </c>
      <c r="AC166" s="52" t="str">
        <f t="shared" si="8"/>
        <v>8, -3</v>
      </c>
    </row>
    <row r="167" spans="1:29" x14ac:dyDescent="0.3">
      <c r="A167" s="19"/>
      <c r="B167" s="19"/>
      <c r="C167" s="20"/>
      <c r="Z167" s="126" cm="1">
        <f t="array" ref="Z167">INDEX(Map!$B$2:$V$22,-Paths!AA167+11,Paths!AB167+11)</f>
        <v>0</v>
      </c>
      <c r="AA167" s="127">
        <f t="shared" si="6"/>
        <v>-3</v>
      </c>
      <c r="AB167" s="127">
        <f t="shared" si="7"/>
        <v>9</v>
      </c>
      <c r="AC167" s="52" t="str">
        <f t="shared" si="8"/>
        <v>9, -3</v>
      </c>
    </row>
    <row r="168" spans="1:29" x14ac:dyDescent="0.3">
      <c r="A168" s="27"/>
      <c r="B168" s="27"/>
      <c r="C168" s="28"/>
      <c r="Z168" s="126" cm="1">
        <f t="array" ref="Z168">INDEX(Map!$B$2:$V$22,-Paths!AA168+11,Paths!AB168+11)</f>
        <v>0</v>
      </c>
      <c r="AA168" s="127">
        <f t="shared" si="6"/>
        <v>-3</v>
      </c>
      <c r="AB168" s="127">
        <f t="shared" si="7"/>
        <v>10</v>
      </c>
      <c r="AC168" s="52" t="str">
        <f t="shared" si="8"/>
        <v>10, -3</v>
      </c>
    </row>
    <row r="169" spans="1:29" x14ac:dyDescent="0.3">
      <c r="A169" s="32"/>
      <c r="B169" s="33"/>
      <c r="C169" s="33"/>
      <c r="Z169" s="126" cm="1">
        <f t="array" ref="Z169">INDEX(Map!$B$2:$V$22,-Paths!AA169+11,Paths!AB169+11)</f>
        <v>0</v>
      </c>
      <c r="AA169" s="127">
        <f t="shared" si="6"/>
        <v>-2</v>
      </c>
      <c r="AB169" s="127">
        <f t="shared" si="7"/>
        <v>-10</v>
      </c>
      <c r="AC169" s="52" t="str">
        <f t="shared" si="8"/>
        <v>-10, -2</v>
      </c>
    </row>
    <row r="170" spans="1:29" x14ac:dyDescent="0.3">
      <c r="A170" s="19"/>
      <c r="B170" s="19"/>
      <c r="C170" s="20"/>
      <c r="Z170" s="126" cm="1">
        <f t="array" ref="Z170">INDEX(Map!$B$2:$V$22,-Paths!AA170+11,Paths!AB170+11)</f>
        <v>0</v>
      </c>
      <c r="AA170" s="127">
        <f t="shared" si="6"/>
        <v>-2</v>
      </c>
      <c r="AB170" s="127">
        <f t="shared" si="7"/>
        <v>-9</v>
      </c>
      <c r="AC170" s="52" t="str">
        <f t="shared" si="8"/>
        <v>-9, -2</v>
      </c>
    </row>
    <row r="171" spans="1:29" x14ac:dyDescent="0.3">
      <c r="A171" s="27"/>
      <c r="B171" s="27"/>
      <c r="C171" s="28"/>
      <c r="Z171" s="126" cm="1">
        <f t="array" ref="Z171">INDEX(Map!$B$2:$V$22,-Paths!AA171+11,Paths!AB171+11)</f>
        <v>0</v>
      </c>
      <c r="AA171" s="127">
        <f t="shared" si="6"/>
        <v>-2</v>
      </c>
      <c r="AB171" s="127">
        <f t="shared" si="7"/>
        <v>-8</v>
      </c>
      <c r="AC171" s="52" t="str">
        <f t="shared" si="8"/>
        <v>-8, -2</v>
      </c>
    </row>
    <row r="172" spans="1:29" x14ac:dyDescent="0.3">
      <c r="A172" s="32"/>
      <c r="B172" s="33"/>
      <c r="C172" s="33"/>
      <c r="Z172" s="126" cm="1">
        <f t="array" ref="Z172">INDEX(Map!$B$2:$V$22,-Paths!AA172+11,Paths!AB172+11)</f>
        <v>0</v>
      </c>
      <c r="AA172" s="127">
        <f t="shared" si="6"/>
        <v>-2</v>
      </c>
      <c r="AB172" s="127">
        <f t="shared" si="7"/>
        <v>-7</v>
      </c>
      <c r="AC172" s="52" t="str">
        <f t="shared" si="8"/>
        <v>-7, -2</v>
      </c>
    </row>
    <row r="173" spans="1:29" x14ac:dyDescent="0.3">
      <c r="A173" s="19"/>
      <c r="B173" s="19"/>
      <c r="C173" s="20"/>
      <c r="Z173" s="126" cm="1">
        <f t="array" ref="Z173">INDEX(Map!$B$2:$V$22,-Paths!AA173+11,Paths!AB173+11)</f>
        <v>0</v>
      </c>
      <c r="AA173" s="127">
        <f t="shared" si="6"/>
        <v>-2</v>
      </c>
      <c r="AB173" s="127">
        <f t="shared" si="7"/>
        <v>-6</v>
      </c>
      <c r="AC173" s="52" t="str">
        <f t="shared" si="8"/>
        <v>-6, -2</v>
      </c>
    </row>
    <row r="174" spans="1:29" x14ac:dyDescent="0.3">
      <c r="A174" s="27"/>
      <c r="B174" s="27"/>
      <c r="C174" s="28"/>
      <c r="Z174" s="126" cm="1">
        <f t="array" ref="Z174">INDEX(Map!$B$2:$V$22,-Paths!AA174+11,Paths!AB174+11)</f>
        <v>0</v>
      </c>
      <c r="AA174" s="127">
        <f t="shared" si="6"/>
        <v>-2</v>
      </c>
      <c r="AB174" s="127">
        <f t="shared" si="7"/>
        <v>-5</v>
      </c>
      <c r="AC174" s="52" t="str">
        <f t="shared" si="8"/>
        <v>-5, -2</v>
      </c>
    </row>
    <row r="175" spans="1:29" x14ac:dyDescent="0.3">
      <c r="A175" s="32"/>
      <c r="B175" s="33"/>
      <c r="C175" s="33"/>
      <c r="Z175" s="126" cm="1">
        <f t="array" ref="Z175">INDEX(Map!$B$2:$V$22,-Paths!AA175+11,Paths!AB175+11)</f>
        <v>0</v>
      </c>
      <c r="AA175" s="127">
        <f t="shared" si="6"/>
        <v>-2</v>
      </c>
      <c r="AB175" s="127">
        <f t="shared" si="7"/>
        <v>-4</v>
      </c>
      <c r="AC175" s="52" t="str">
        <f t="shared" si="8"/>
        <v>-4, -2</v>
      </c>
    </row>
    <row r="176" spans="1:29" x14ac:dyDescent="0.3">
      <c r="A176" s="19"/>
      <c r="B176" s="19"/>
      <c r="C176" s="20"/>
      <c r="Z176" s="126" cm="1">
        <f t="array" ref="Z176">INDEX(Map!$B$2:$V$22,-Paths!AA176+11,Paths!AB176+11)</f>
        <v>0</v>
      </c>
      <c r="AA176" s="127">
        <f t="shared" si="6"/>
        <v>-2</v>
      </c>
      <c r="AB176" s="127">
        <f t="shared" si="7"/>
        <v>-3</v>
      </c>
      <c r="AC176" s="52" t="str">
        <f t="shared" si="8"/>
        <v>-3, -2</v>
      </c>
    </row>
    <row r="177" spans="1:29" x14ac:dyDescent="0.3">
      <c r="A177" s="27"/>
      <c r="B177" s="27"/>
      <c r="C177" s="28"/>
      <c r="Z177" s="126" cm="1">
        <f t="array" ref="Z177">INDEX(Map!$B$2:$V$22,-Paths!AA177+11,Paths!AB177+11)</f>
        <v>0</v>
      </c>
      <c r="AA177" s="127">
        <f t="shared" si="6"/>
        <v>-2</v>
      </c>
      <c r="AB177" s="127">
        <f t="shared" si="7"/>
        <v>-2</v>
      </c>
      <c r="AC177" s="52" t="str">
        <f t="shared" si="8"/>
        <v>-2, -2</v>
      </c>
    </row>
    <row r="178" spans="1:29" x14ac:dyDescent="0.3">
      <c r="A178" s="32"/>
      <c r="B178" s="33"/>
      <c r="C178" s="33"/>
      <c r="Z178" s="126" cm="1">
        <f t="array" ref="Z178">INDEX(Map!$B$2:$V$22,-Paths!AA178+11,Paths!AB178+11)</f>
        <v>0</v>
      </c>
      <c r="AA178" s="127">
        <f t="shared" si="6"/>
        <v>-2</v>
      </c>
      <c r="AB178" s="127">
        <f t="shared" si="7"/>
        <v>-1</v>
      </c>
      <c r="AC178" s="52" t="str">
        <f t="shared" si="8"/>
        <v>-1, -2</v>
      </c>
    </row>
    <row r="179" spans="1:29" x14ac:dyDescent="0.3">
      <c r="A179" s="19"/>
      <c r="B179" s="19"/>
      <c r="C179" s="20"/>
      <c r="Z179" s="126" cm="1">
        <f t="array" ref="Z179">INDEX(Map!$B$2:$V$22,-Paths!AA179+11,Paths!AB179+11)</f>
        <v>0</v>
      </c>
      <c r="AA179" s="127">
        <f t="shared" si="6"/>
        <v>-2</v>
      </c>
      <c r="AB179" s="127">
        <f t="shared" si="7"/>
        <v>0</v>
      </c>
      <c r="AC179" s="52" t="str">
        <f t="shared" si="8"/>
        <v>0, -2</v>
      </c>
    </row>
    <row r="180" spans="1:29" x14ac:dyDescent="0.3">
      <c r="A180" s="27"/>
      <c r="B180" s="27"/>
      <c r="C180" s="28"/>
      <c r="Z180" s="126" cm="1">
        <f t="array" ref="Z180">INDEX(Map!$B$2:$V$22,-Paths!AA180+11,Paths!AB180+11)</f>
        <v>0</v>
      </c>
      <c r="AA180" s="127">
        <f t="shared" si="6"/>
        <v>-2</v>
      </c>
      <c r="AB180" s="127">
        <f t="shared" si="7"/>
        <v>1</v>
      </c>
      <c r="AC180" s="52" t="str">
        <f t="shared" si="8"/>
        <v>1, -2</v>
      </c>
    </row>
    <row r="181" spans="1:29" x14ac:dyDescent="0.3">
      <c r="A181" s="32"/>
      <c r="B181" s="33"/>
      <c r="C181" s="33"/>
      <c r="Z181" s="126" t="str" cm="1">
        <f t="array" ref="Z181">INDEX(Map!$B$2:$V$22,-Paths!AA181+11,Paths!AB181+11)</f>
        <v>Application2</v>
      </c>
      <c r="AA181" s="127">
        <f t="shared" si="6"/>
        <v>-2</v>
      </c>
      <c r="AB181" s="127">
        <f t="shared" si="7"/>
        <v>2</v>
      </c>
      <c r="AC181" s="52" t="str">
        <f t="shared" si="8"/>
        <v>2, -2</v>
      </c>
    </row>
    <row r="182" spans="1:29" x14ac:dyDescent="0.3">
      <c r="A182" s="19"/>
      <c r="B182" s="19"/>
      <c r="C182" s="20"/>
      <c r="Z182" s="126" cm="1">
        <f t="array" ref="Z182">INDEX(Map!$B$2:$V$22,-Paths!AA182+11,Paths!AB182+11)</f>
        <v>0</v>
      </c>
      <c r="AA182" s="127">
        <f t="shared" si="6"/>
        <v>-2</v>
      </c>
      <c r="AB182" s="127">
        <f t="shared" si="7"/>
        <v>3</v>
      </c>
      <c r="AC182" s="52" t="str">
        <f t="shared" si="8"/>
        <v>3, -2</v>
      </c>
    </row>
    <row r="183" spans="1:29" x14ac:dyDescent="0.3">
      <c r="A183" s="27"/>
      <c r="B183" s="27"/>
      <c r="C183" s="28"/>
      <c r="Z183" s="126" cm="1">
        <f t="array" ref="Z183">INDEX(Map!$B$2:$V$22,-Paths!AA183+11,Paths!AB183+11)</f>
        <v>0</v>
      </c>
      <c r="AA183" s="127">
        <f t="shared" si="6"/>
        <v>-2</v>
      </c>
      <c r="AB183" s="127">
        <f t="shared" si="7"/>
        <v>4</v>
      </c>
      <c r="AC183" s="52" t="str">
        <f t="shared" si="8"/>
        <v>4, -2</v>
      </c>
    </row>
    <row r="184" spans="1:29" x14ac:dyDescent="0.3">
      <c r="A184" s="32"/>
      <c r="B184" s="33"/>
      <c r="C184" s="33"/>
      <c r="Z184" s="126" cm="1">
        <f t="array" ref="Z184">INDEX(Map!$B$2:$V$22,-Paths!AA184+11,Paths!AB184+11)</f>
        <v>0</v>
      </c>
      <c r="AA184" s="127">
        <f t="shared" si="6"/>
        <v>-2</v>
      </c>
      <c r="AB184" s="127">
        <f t="shared" si="7"/>
        <v>5</v>
      </c>
      <c r="AC184" s="52" t="str">
        <f t="shared" si="8"/>
        <v>5, -2</v>
      </c>
    </row>
    <row r="185" spans="1:29" x14ac:dyDescent="0.3">
      <c r="A185" s="19"/>
      <c r="B185" s="19"/>
      <c r="C185" s="20"/>
      <c r="Z185" s="126" cm="1">
        <f t="array" ref="Z185">INDEX(Map!$B$2:$V$22,-Paths!AA185+11,Paths!AB185+11)</f>
        <v>0</v>
      </c>
      <c r="AA185" s="127">
        <f t="shared" si="6"/>
        <v>-2</v>
      </c>
      <c r="AB185" s="127">
        <f t="shared" si="7"/>
        <v>6</v>
      </c>
      <c r="AC185" s="52" t="str">
        <f t="shared" si="8"/>
        <v>6, -2</v>
      </c>
    </row>
    <row r="186" spans="1:29" x14ac:dyDescent="0.3">
      <c r="A186" s="27"/>
      <c r="B186" s="27"/>
      <c r="C186" s="28"/>
      <c r="Z186" s="126" cm="1">
        <f t="array" ref="Z186">INDEX(Map!$B$2:$V$22,-Paths!AA186+11,Paths!AB186+11)</f>
        <v>0</v>
      </c>
      <c r="AA186" s="127">
        <f t="shared" si="6"/>
        <v>-2</v>
      </c>
      <c r="AB186" s="127">
        <f t="shared" si="7"/>
        <v>7</v>
      </c>
      <c r="AC186" s="52" t="str">
        <f t="shared" si="8"/>
        <v>7, -2</v>
      </c>
    </row>
    <row r="187" spans="1:29" x14ac:dyDescent="0.3">
      <c r="A187" s="32"/>
      <c r="B187" s="33"/>
      <c r="C187" s="33"/>
      <c r="Z187" s="126" cm="1">
        <f t="array" ref="Z187">INDEX(Map!$B$2:$V$22,-Paths!AA187+11,Paths!AB187+11)</f>
        <v>0</v>
      </c>
      <c r="AA187" s="127">
        <f t="shared" si="6"/>
        <v>-2</v>
      </c>
      <c r="AB187" s="127">
        <f t="shared" si="7"/>
        <v>8</v>
      </c>
      <c r="AC187" s="52" t="str">
        <f t="shared" si="8"/>
        <v>8, -2</v>
      </c>
    </row>
    <row r="188" spans="1:29" x14ac:dyDescent="0.3">
      <c r="A188" s="19"/>
      <c r="B188" s="19"/>
      <c r="C188" s="20"/>
      <c r="Z188" s="126" cm="1">
        <f t="array" ref="Z188">INDEX(Map!$B$2:$V$22,-Paths!AA188+11,Paths!AB188+11)</f>
        <v>0</v>
      </c>
      <c r="AA188" s="127">
        <f t="shared" si="6"/>
        <v>-2</v>
      </c>
      <c r="AB188" s="127">
        <f t="shared" si="7"/>
        <v>9</v>
      </c>
      <c r="AC188" s="52" t="str">
        <f t="shared" si="8"/>
        <v>9, -2</v>
      </c>
    </row>
    <row r="189" spans="1:29" x14ac:dyDescent="0.3">
      <c r="A189" s="27"/>
      <c r="B189" s="27"/>
      <c r="C189" s="28"/>
      <c r="Z189" s="126" cm="1">
        <f t="array" ref="Z189">INDEX(Map!$B$2:$V$22,-Paths!AA189+11,Paths!AB189+11)</f>
        <v>0</v>
      </c>
      <c r="AA189" s="127">
        <f t="shared" si="6"/>
        <v>-2</v>
      </c>
      <c r="AB189" s="127">
        <f t="shared" si="7"/>
        <v>10</v>
      </c>
      <c r="AC189" s="52" t="str">
        <f t="shared" si="8"/>
        <v>10, -2</v>
      </c>
    </row>
    <row r="190" spans="1:29" x14ac:dyDescent="0.3">
      <c r="A190" s="32"/>
      <c r="B190" s="33"/>
      <c r="C190" s="33"/>
      <c r="Z190" s="126" cm="1">
        <f t="array" ref="Z190">INDEX(Map!$B$2:$V$22,-Paths!AA190+11,Paths!AB190+11)</f>
        <v>0</v>
      </c>
      <c r="AA190" s="127">
        <f t="shared" si="6"/>
        <v>-1</v>
      </c>
      <c r="AB190" s="127">
        <f t="shared" si="7"/>
        <v>-10</v>
      </c>
      <c r="AC190" s="52" t="str">
        <f t="shared" si="8"/>
        <v>-10, -1</v>
      </c>
    </row>
    <row r="191" spans="1:29" x14ac:dyDescent="0.3">
      <c r="A191" s="19"/>
      <c r="B191" s="19"/>
      <c r="C191" s="20"/>
      <c r="Z191" s="126" cm="1">
        <f t="array" ref="Z191">INDEX(Map!$B$2:$V$22,-Paths!AA191+11,Paths!AB191+11)</f>
        <v>0</v>
      </c>
      <c r="AA191" s="127">
        <f t="shared" si="6"/>
        <v>-1</v>
      </c>
      <c r="AB191" s="127">
        <f t="shared" si="7"/>
        <v>-9</v>
      </c>
      <c r="AC191" s="52" t="str">
        <f t="shared" si="8"/>
        <v>-9, -1</v>
      </c>
    </row>
    <row r="192" spans="1:29" x14ac:dyDescent="0.3">
      <c r="A192" s="27"/>
      <c r="B192" s="27"/>
      <c r="C192" s="28"/>
      <c r="Z192" s="126" cm="1">
        <f t="array" ref="Z192">INDEX(Map!$B$2:$V$22,-Paths!AA192+11,Paths!AB192+11)</f>
        <v>0</v>
      </c>
      <c r="AA192" s="127">
        <f t="shared" si="6"/>
        <v>-1</v>
      </c>
      <c r="AB192" s="127">
        <f t="shared" si="7"/>
        <v>-8</v>
      </c>
      <c r="AC192" s="52" t="str">
        <f t="shared" si="8"/>
        <v>-8, -1</v>
      </c>
    </row>
    <row r="193" spans="1:29" x14ac:dyDescent="0.3">
      <c r="A193" s="32"/>
      <c r="B193" s="33"/>
      <c r="C193" s="33"/>
      <c r="Z193" s="126" cm="1">
        <f t="array" ref="Z193">INDEX(Map!$B$2:$V$22,-Paths!AA193+11,Paths!AB193+11)</f>
        <v>0</v>
      </c>
      <c r="AA193" s="127">
        <f t="shared" ref="AA193:AA256" si="9">QUOTIENT(ROW(AB193)-1,21)-10</f>
        <v>-1</v>
      </c>
      <c r="AB193" s="127">
        <f t="shared" ref="AB193:AB256" si="10">MOD(ROW(AB193)-1,21)-10</f>
        <v>-7</v>
      </c>
      <c r="AC193" s="52" t="str">
        <f t="shared" si="8"/>
        <v>-7, -1</v>
      </c>
    </row>
    <row r="194" spans="1:29" x14ac:dyDescent="0.3">
      <c r="A194" s="19"/>
      <c r="B194" s="19"/>
      <c r="C194" s="20"/>
      <c r="Z194" s="126" cm="1">
        <f t="array" ref="Z194">INDEX(Map!$B$2:$V$22,-Paths!AA194+11,Paths!AB194+11)</f>
        <v>0</v>
      </c>
      <c r="AA194" s="127">
        <f t="shared" si="9"/>
        <v>-1</v>
      </c>
      <c r="AB194" s="127">
        <f t="shared" si="10"/>
        <v>-6</v>
      </c>
      <c r="AC194" s="52" t="str">
        <f t="shared" ref="AC194:AC257" si="11">AB194&amp;", "&amp;AA194</f>
        <v>-6, -1</v>
      </c>
    </row>
    <row r="195" spans="1:29" x14ac:dyDescent="0.3">
      <c r="A195" s="27"/>
      <c r="B195" s="27"/>
      <c r="C195" s="28"/>
      <c r="Z195" s="126" cm="1">
        <f t="array" ref="Z195">INDEX(Map!$B$2:$V$22,-Paths!AA195+11,Paths!AB195+11)</f>
        <v>0</v>
      </c>
      <c r="AA195" s="127">
        <f t="shared" si="9"/>
        <v>-1</v>
      </c>
      <c r="AB195" s="127">
        <f t="shared" si="10"/>
        <v>-5</v>
      </c>
      <c r="AC195" s="52" t="str">
        <f t="shared" si="11"/>
        <v>-5, -1</v>
      </c>
    </row>
    <row r="196" spans="1:29" x14ac:dyDescent="0.3">
      <c r="A196" s="32"/>
      <c r="B196" s="33"/>
      <c r="C196" s="33"/>
      <c r="Z196" s="126" cm="1">
        <f t="array" ref="Z196">INDEX(Map!$B$2:$V$22,-Paths!AA196+11,Paths!AB196+11)</f>
        <v>0</v>
      </c>
      <c r="AA196" s="127">
        <f t="shared" si="9"/>
        <v>-1</v>
      </c>
      <c r="AB196" s="127">
        <f t="shared" si="10"/>
        <v>-4</v>
      </c>
      <c r="AC196" s="52" t="str">
        <f t="shared" si="11"/>
        <v>-4, -1</v>
      </c>
    </row>
    <row r="197" spans="1:29" x14ac:dyDescent="0.3">
      <c r="A197" s="19"/>
      <c r="B197" s="19"/>
      <c r="C197" s="20"/>
      <c r="Z197" s="126" cm="1">
        <f t="array" ref="Z197">INDEX(Map!$B$2:$V$22,-Paths!AA197+11,Paths!AB197+11)</f>
        <v>0</v>
      </c>
      <c r="AA197" s="127">
        <f t="shared" si="9"/>
        <v>-1</v>
      </c>
      <c r="AB197" s="127">
        <f t="shared" si="10"/>
        <v>-3</v>
      </c>
      <c r="AC197" s="52" t="str">
        <f t="shared" si="11"/>
        <v>-3, -1</v>
      </c>
    </row>
    <row r="198" spans="1:29" x14ac:dyDescent="0.3">
      <c r="A198" s="27"/>
      <c r="B198" s="27"/>
      <c r="C198" s="28"/>
      <c r="Z198" s="126" cm="1">
        <f t="array" ref="Z198">INDEX(Map!$B$2:$V$22,-Paths!AA198+11,Paths!AB198+11)</f>
        <v>0</v>
      </c>
      <c r="AA198" s="127">
        <f t="shared" si="9"/>
        <v>-1</v>
      </c>
      <c r="AB198" s="127">
        <f t="shared" si="10"/>
        <v>-2</v>
      </c>
      <c r="AC198" s="52" t="str">
        <f t="shared" si="11"/>
        <v>-2, -1</v>
      </c>
    </row>
    <row r="199" spans="1:29" x14ac:dyDescent="0.3">
      <c r="A199" s="32"/>
      <c r="B199" s="33"/>
      <c r="C199" s="33"/>
      <c r="Z199" s="126" cm="1">
        <f t="array" ref="Z199">INDEX(Map!$B$2:$V$22,-Paths!AA199+11,Paths!AB199+11)</f>
        <v>0</v>
      </c>
      <c r="AA199" s="127">
        <f t="shared" si="9"/>
        <v>-1</v>
      </c>
      <c r="AB199" s="127">
        <f t="shared" si="10"/>
        <v>-1</v>
      </c>
      <c r="AC199" s="52" t="str">
        <f t="shared" si="11"/>
        <v>-1, -1</v>
      </c>
    </row>
    <row r="200" spans="1:29" x14ac:dyDescent="0.3">
      <c r="A200" s="19"/>
      <c r="B200" s="19"/>
      <c r="C200" s="20"/>
      <c r="Z200" s="126" cm="1">
        <f t="array" ref="Z200">INDEX(Map!$B$2:$V$22,-Paths!AA200+11,Paths!AB200+11)</f>
        <v>0</v>
      </c>
      <c r="AA200" s="127">
        <f t="shared" si="9"/>
        <v>-1</v>
      </c>
      <c r="AB200" s="127">
        <f t="shared" si="10"/>
        <v>0</v>
      </c>
      <c r="AC200" s="52" t="str">
        <f t="shared" si="11"/>
        <v>0, -1</v>
      </c>
    </row>
    <row r="201" spans="1:29" x14ac:dyDescent="0.3">
      <c r="A201" s="27"/>
      <c r="B201" s="27"/>
      <c r="C201" s="28"/>
      <c r="Z201" s="126" cm="1">
        <f t="array" ref="Z201">INDEX(Map!$B$2:$V$22,-Paths!AA201+11,Paths!AB201+11)</f>
        <v>0</v>
      </c>
      <c r="AA201" s="127">
        <f t="shared" si="9"/>
        <v>-1</v>
      </c>
      <c r="AB201" s="127">
        <f t="shared" si="10"/>
        <v>1</v>
      </c>
      <c r="AC201" s="52" t="str">
        <f t="shared" si="11"/>
        <v>1, -1</v>
      </c>
    </row>
    <row r="202" spans="1:29" x14ac:dyDescent="0.3">
      <c r="A202" s="32"/>
      <c r="B202" s="33"/>
      <c r="C202" s="33"/>
      <c r="Z202" s="126" t="str" cm="1">
        <f t="array" ref="Z202">INDEX(Map!$B$2:$V$22,-Paths!AA202+11,Paths!AB202+11)</f>
        <v>Application1</v>
      </c>
      <c r="AA202" s="127">
        <f t="shared" si="9"/>
        <v>-1</v>
      </c>
      <c r="AB202" s="127">
        <f t="shared" si="10"/>
        <v>2</v>
      </c>
      <c r="AC202" s="52" t="str">
        <f t="shared" si="11"/>
        <v>2, -1</v>
      </c>
    </row>
    <row r="203" spans="1:29" x14ac:dyDescent="0.3">
      <c r="A203" s="19"/>
      <c r="B203" s="19"/>
      <c r="C203" s="20"/>
      <c r="Z203" s="126" cm="1">
        <f t="array" ref="Z203">INDEX(Map!$B$2:$V$22,-Paths!AA203+11,Paths!AB203+11)</f>
        <v>0</v>
      </c>
      <c r="AA203" s="127">
        <f t="shared" si="9"/>
        <v>-1</v>
      </c>
      <c r="AB203" s="127">
        <f t="shared" si="10"/>
        <v>3</v>
      </c>
      <c r="AC203" s="52" t="str">
        <f t="shared" si="11"/>
        <v>3, -1</v>
      </c>
    </row>
    <row r="204" spans="1:29" x14ac:dyDescent="0.3">
      <c r="A204" s="27"/>
      <c r="B204" s="27"/>
      <c r="C204" s="28"/>
      <c r="Z204" s="126" cm="1">
        <f t="array" ref="Z204">INDEX(Map!$B$2:$V$22,-Paths!AA204+11,Paths!AB204+11)</f>
        <v>0</v>
      </c>
      <c r="AA204" s="127">
        <f t="shared" si="9"/>
        <v>-1</v>
      </c>
      <c r="AB204" s="127">
        <f t="shared" si="10"/>
        <v>4</v>
      </c>
      <c r="AC204" s="52" t="str">
        <f t="shared" si="11"/>
        <v>4, -1</v>
      </c>
    </row>
    <row r="205" spans="1:29" x14ac:dyDescent="0.3">
      <c r="A205" s="32"/>
      <c r="B205" s="33"/>
      <c r="C205" s="33"/>
      <c r="Z205" s="126" cm="1">
        <f t="array" ref="Z205">INDEX(Map!$B$2:$V$22,-Paths!AA205+11,Paths!AB205+11)</f>
        <v>0</v>
      </c>
      <c r="AA205" s="127">
        <f t="shared" si="9"/>
        <v>-1</v>
      </c>
      <c r="AB205" s="127">
        <f t="shared" si="10"/>
        <v>5</v>
      </c>
      <c r="AC205" s="52" t="str">
        <f t="shared" si="11"/>
        <v>5, -1</v>
      </c>
    </row>
    <row r="206" spans="1:29" x14ac:dyDescent="0.3">
      <c r="A206" s="19"/>
      <c r="B206" s="19"/>
      <c r="C206" s="20"/>
      <c r="Z206" s="126" cm="1">
        <f t="array" ref="Z206">INDEX(Map!$B$2:$V$22,-Paths!AA206+11,Paths!AB206+11)</f>
        <v>0</v>
      </c>
      <c r="AA206" s="127">
        <f t="shared" si="9"/>
        <v>-1</v>
      </c>
      <c r="AB206" s="127">
        <f t="shared" si="10"/>
        <v>6</v>
      </c>
      <c r="AC206" s="52" t="str">
        <f t="shared" si="11"/>
        <v>6, -1</v>
      </c>
    </row>
    <row r="207" spans="1:29" x14ac:dyDescent="0.3">
      <c r="A207" s="27"/>
      <c r="B207" s="27"/>
      <c r="C207" s="28"/>
      <c r="Z207" s="126" cm="1">
        <f t="array" ref="Z207">INDEX(Map!$B$2:$V$22,-Paths!AA207+11,Paths!AB207+11)</f>
        <v>0</v>
      </c>
      <c r="AA207" s="127">
        <f t="shared" si="9"/>
        <v>-1</v>
      </c>
      <c r="AB207" s="127">
        <f t="shared" si="10"/>
        <v>7</v>
      </c>
      <c r="AC207" s="52" t="str">
        <f t="shared" si="11"/>
        <v>7, -1</v>
      </c>
    </row>
    <row r="208" spans="1:29" x14ac:dyDescent="0.3">
      <c r="A208" s="32"/>
      <c r="B208" s="33"/>
      <c r="C208" s="33"/>
      <c r="Z208" s="126" cm="1">
        <f t="array" ref="Z208">INDEX(Map!$B$2:$V$22,-Paths!AA208+11,Paths!AB208+11)</f>
        <v>0</v>
      </c>
      <c r="AA208" s="127">
        <f t="shared" si="9"/>
        <v>-1</v>
      </c>
      <c r="AB208" s="127">
        <f t="shared" si="10"/>
        <v>8</v>
      </c>
      <c r="AC208" s="52" t="str">
        <f t="shared" si="11"/>
        <v>8, -1</v>
      </c>
    </row>
    <row r="209" spans="1:29" x14ac:dyDescent="0.3">
      <c r="A209" s="19"/>
      <c r="B209" s="19"/>
      <c r="C209" s="20"/>
      <c r="Z209" s="126" cm="1">
        <f t="array" ref="Z209">INDEX(Map!$B$2:$V$22,-Paths!AA209+11,Paths!AB209+11)</f>
        <v>0</v>
      </c>
      <c r="AA209" s="127">
        <f t="shared" si="9"/>
        <v>-1</v>
      </c>
      <c r="AB209" s="127">
        <f t="shared" si="10"/>
        <v>9</v>
      </c>
      <c r="AC209" s="52" t="str">
        <f t="shared" si="11"/>
        <v>9, -1</v>
      </c>
    </row>
    <row r="210" spans="1:29" x14ac:dyDescent="0.3">
      <c r="A210" s="27"/>
      <c r="B210" s="27"/>
      <c r="C210" s="28"/>
      <c r="Z210" s="126" cm="1">
        <f t="array" ref="Z210">INDEX(Map!$B$2:$V$22,-Paths!AA210+11,Paths!AB210+11)</f>
        <v>0</v>
      </c>
      <c r="AA210" s="127">
        <f t="shared" si="9"/>
        <v>-1</v>
      </c>
      <c r="AB210" s="127">
        <f t="shared" si="10"/>
        <v>10</v>
      </c>
      <c r="AC210" s="52" t="str">
        <f t="shared" si="11"/>
        <v>10, -1</v>
      </c>
    </row>
    <row r="211" spans="1:29" x14ac:dyDescent="0.3">
      <c r="A211" s="32"/>
      <c r="B211" s="33"/>
      <c r="C211" s="33"/>
      <c r="Z211" s="126" cm="1">
        <f t="array" ref="Z211">INDEX(Map!$B$2:$V$22,-Paths!AA211+11,Paths!AB211+11)</f>
        <v>0</v>
      </c>
      <c r="AA211" s="127">
        <f t="shared" si="9"/>
        <v>0</v>
      </c>
      <c r="AB211" s="127">
        <f t="shared" si="10"/>
        <v>-10</v>
      </c>
      <c r="AC211" s="52" t="str">
        <f t="shared" si="11"/>
        <v>-10, 0</v>
      </c>
    </row>
    <row r="212" spans="1:29" x14ac:dyDescent="0.3">
      <c r="A212" s="19"/>
      <c r="B212" s="19"/>
      <c r="C212" s="20"/>
      <c r="Z212" s="126" cm="1">
        <f t="array" ref="Z212">INDEX(Map!$B$2:$V$22,-Paths!AA212+11,Paths!AB212+11)</f>
        <v>0</v>
      </c>
      <c r="AA212" s="127">
        <f t="shared" si="9"/>
        <v>0</v>
      </c>
      <c r="AB212" s="127">
        <f t="shared" si="10"/>
        <v>-9</v>
      </c>
      <c r="AC212" s="52" t="str">
        <f t="shared" si="11"/>
        <v>-9, 0</v>
      </c>
    </row>
    <row r="213" spans="1:29" x14ac:dyDescent="0.3">
      <c r="A213" s="27"/>
      <c r="B213" s="27"/>
      <c r="C213" s="28"/>
      <c r="Z213" s="126" cm="1">
        <f t="array" ref="Z213">INDEX(Map!$B$2:$V$22,-Paths!AA213+11,Paths!AB213+11)</f>
        <v>0</v>
      </c>
      <c r="AA213" s="127">
        <f t="shared" si="9"/>
        <v>0</v>
      </c>
      <c r="AB213" s="127">
        <f t="shared" si="10"/>
        <v>-8</v>
      </c>
      <c r="AC213" s="52" t="str">
        <f t="shared" si="11"/>
        <v>-8, 0</v>
      </c>
    </row>
    <row r="214" spans="1:29" x14ac:dyDescent="0.3">
      <c r="A214" s="32"/>
      <c r="B214" s="33"/>
      <c r="C214" s="33"/>
      <c r="Z214" s="126" cm="1">
        <f t="array" ref="Z214">INDEX(Map!$B$2:$V$22,-Paths!AA214+11,Paths!AB214+11)</f>
        <v>0</v>
      </c>
      <c r="AA214" s="127">
        <f t="shared" si="9"/>
        <v>0</v>
      </c>
      <c r="AB214" s="127">
        <f t="shared" si="10"/>
        <v>-7</v>
      </c>
      <c r="AC214" s="52" t="str">
        <f t="shared" si="11"/>
        <v>-7, 0</v>
      </c>
    </row>
    <row r="215" spans="1:29" x14ac:dyDescent="0.3">
      <c r="A215" s="19"/>
      <c r="B215" s="19"/>
      <c r="C215" s="20"/>
      <c r="Z215" s="126" cm="1">
        <f t="array" ref="Z215">INDEX(Map!$B$2:$V$22,-Paths!AA215+11,Paths!AB215+11)</f>
        <v>0</v>
      </c>
      <c r="AA215" s="127">
        <f t="shared" si="9"/>
        <v>0</v>
      </c>
      <c r="AB215" s="127">
        <f t="shared" si="10"/>
        <v>-6</v>
      </c>
      <c r="AC215" s="52" t="str">
        <f t="shared" si="11"/>
        <v>-6, 0</v>
      </c>
    </row>
    <row r="216" spans="1:29" x14ac:dyDescent="0.3">
      <c r="A216" s="27"/>
      <c r="B216" s="27"/>
      <c r="C216" s="28"/>
      <c r="Z216" s="126" cm="1">
        <f t="array" ref="Z216">INDEX(Map!$B$2:$V$22,-Paths!AA216+11,Paths!AB216+11)</f>
        <v>0</v>
      </c>
      <c r="AA216" s="127">
        <f t="shared" si="9"/>
        <v>0</v>
      </c>
      <c r="AB216" s="127">
        <f t="shared" si="10"/>
        <v>-5</v>
      </c>
      <c r="AC216" s="52" t="str">
        <f t="shared" si="11"/>
        <v>-5, 0</v>
      </c>
    </row>
    <row r="217" spans="1:29" x14ac:dyDescent="0.3">
      <c r="A217" s="32"/>
      <c r="B217" s="33"/>
      <c r="C217" s="33"/>
      <c r="Z217" s="126" cm="1">
        <f t="array" ref="Z217">INDEX(Map!$B$2:$V$22,-Paths!AA217+11,Paths!AB217+11)</f>
        <v>0</v>
      </c>
      <c r="AA217" s="127">
        <f t="shared" si="9"/>
        <v>0</v>
      </c>
      <c r="AB217" s="127">
        <f t="shared" si="10"/>
        <v>-4</v>
      </c>
      <c r="AC217" s="52" t="str">
        <f t="shared" si="11"/>
        <v>-4, 0</v>
      </c>
    </row>
    <row r="218" spans="1:29" x14ac:dyDescent="0.3">
      <c r="A218" s="19"/>
      <c r="B218" s="19"/>
      <c r="C218" s="20"/>
      <c r="Z218" s="126" cm="1">
        <f t="array" ref="Z218">INDEX(Map!$B$2:$V$22,-Paths!AA218+11,Paths!AB218+11)</f>
        <v>0</v>
      </c>
      <c r="AA218" s="127">
        <f t="shared" si="9"/>
        <v>0</v>
      </c>
      <c r="AB218" s="127">
        <f t="shared" si="10"/>
        <v>-3</v>
      </c>
      <c r="AC218" s="52" t="str">
        <f t="shared" si="11"/>
        <v>-3, 0</v>
      </c>
    </row>
    <row r="219" spans="1:29" x14ac:dyDescent="0.3">
      <c r="A219" s="27"/>
      <c r="B219" s="27"/>
      <c r="C219" s="28"/>
      <c r="Z219" s="126" cm="1">
        <f t="array" ref="Z219">INDEX(Map!$B$2:$V$22,-Paths!AA219+11,Paths!AB219+11)</f>
        <v>0</v>
      </c>
      <c r="AA219" s="127">
        <f t="shared" si="9"/>
        <v>0</v>
      </c>
      <c r="AB219" s="127">
        <f t="shared" si="10"/>
        <v>-2</v>
      </c>
      <c r="AC219" s="52" t="str">
        <f t="shared" si="11"/>
        <v>-2, 0</v>
      </c>
    </row>
    <row r="220" spans="1:29" x14ac:dyDescent="0.3">
      <c r="A220" s="32"/>
      <c r="B220" s="33"/>
      <c r="C220" s="33"/>
      <c r="Z220" s="126" cm="1">
        <f t="array" ref="Z220">INDEX(Map!$B$2:$V$22,-Paths!AA220+11,Paths!AB220+11)</f>
        <v>0</v>
      </c>
      <c r="AA220" s="127">
        <f t="shared" si="9"/>
        <v>0</v>
      </c>
      <c r="AB220" s="127">
        <f t="shared" si="10"/>
        <v>-1</v>
      </c>
      <c r="AC220" s="52" t="str">
        <f t="shared" si="11"/>
        <v>-1, 0</v>
      </c>
    </row>
    <row r="221" spans="1:29" x14ac:dyDescent="0.3">
      <c r="A221" s="19"/>
      <c r="B221" s="19"/>
      <c r="C221" s="20"/>
      <c r="Z221" s="126" t="str" cm="1">
        <f t="array" ref="Z221">INDEX(Map!$B$2:$V$22,-Paths!AA221+11,Paths!AB221+11)</f>
        <v>Intro</v>
      </c>
      <c r="AA221" s="127">
        <f t="shared" si="9"/>
        <v>0</v>
      </c>
      <c r="AB221" s="127">
        <f t="shared" si="10"/>
        <v>0</v>
      </c>
      <c r="AC221" s="52" t="str">
        <f t="shared" si="11"/>
        <v>0, 0</v>
      </c>
    </row>
    <row r="222" spans="1:29" x14ac:dyDescent="0.3">
      <c r="A222" s="27"/>
      <c r="B222" s="27"/>
      <c r="C222" s="28"/>
      <c r="Z222" s="126" t="str" cm="1">
        <f t="array" ref="Z222">INDEX(Map!$B$2:$V$22,-Paths!AA222+11,Paths!AB222+11)</f>
        <v>Features</v>
      </c>
      <c r="AA222" s="127">
        <f t="shared" si="9"/>
        <v>0</v>
      </c>
      <c r="AB222" s="127">
        <f t="shared" si="10"/>
        <v>1</v>
      </c>
      <c r="AC222" s="52" t="str">
        <f t="shared" si="11"/>
        <v>1, 0</v>
      </c>
    </row>
    <row r="223" spans="1:29" x14ac:dyDescent="0.3">
      <c r="A223" s="32"/>
      <c r="B223" s="33"/>
      <c r="C223" s="33"/>
      <c r="Z223" s="126" t="str" cm="1">
        <f t="array" ref="Z223">INDEX(Map!$B$2:$V$22,-Paths!AA223+11,Paths!AB223+11)</f>
        <v>Applications</v>
      </c>
      <c r="AA223" s="127">
        <f t="shared" si="9"/>
        <v>0</v>
      </c>
      <c r="AB223" s="127">
        <f t="shared" si="10"/>
        <v>2</v>
      </c>
      <c r="AC223" s="52" t="str">
        <f t="shared" si="11"/>
        <v>2, 0</v>
      </c>
    </row>
    <row r="224" spans="1:29" x14ac:dyDescent="0.3">
      <c r="A224" s="19"/>
      <c r="B224" s="19"/>
      <c r="C224" s="20"/>
      <c r="Z224" s="126" t="str" cm="1">
        <f t="array" ref="Z224">INDEX(Map!$B$2:$V$22,-Paths!AA224+11,Paths!AB224+11)</f>
        <v>Benefits</v>
      </c>
      <c r="AA224" s="127">
        <f t="shared" si="9"/>
        <v>0</v>
      </c>
      <c r="AB224" s="127">
        <f t="shared" si="10"/>
        <v>3</v>
      </c>
      <c r="AC224" s="52" t="str">
        <f t="shared" si="11"/>
        <v>3, 0</v>
      </c>
    </row>
    <row r="225" spans="1:29" x14ac:dyDescent="0.3">
      <c r="A225" s="27"/>
      <c r="B225" s="27"/>
      <c r="C225" s="28"/>
      <c r="Z225" s="126" cm="1">
        <f t="array" ref="Z225">INDEX(Map!$B$2:$V$22,-Paths!AA225+11,Paths!AB225+11)</f>
        <v>0</v>
      </c>
      <c r="AA225" s="127">
        <f t="shared" si="9"/>
        <v>0</v>
      </c>
      <c r="AB225" s="127">
        <f t="shared" si="10"/>
        <v>4</v>
      </c>
      <c r="AC225" s="52" t="str">
        <f t="shared" si="11"/>
        <v>4, 0</v>
      </c>
    </row>
    <row r="226" spans="1:29" x14ac:dyDescent="0.3">
      <c r="A226" s="32"/>
      <c r="B226" s="33"/>
      <c r="C226" s="33"/>
      <c r="Z226" s="126" cm="1">
        <f t="array" ref="Z226">INDEX(Map!$B$2:$V$22,-Paths!AA226+11,Paths!AB226+11)</f>
        <v>0</v>
      </c>
      <c r="AA226" s="127">
        <f t="shared" si="9"/>
        <v>0</v>
      </c>
      <c r="AB226" s="127">
        <f t="shared" si="10"/>
        <v>5</v>
      </c>
      <c r="AC226" s="52" t="str">
        <f t="shared" si="11"/>
        <v>5, 0</v>
      </c>
    </row>
    <row r="227" spans="1:29" x14ac:dyDescent="0.3">
      <c r="A227" s="19"/>
      <c r="B227" s="19"/>
      <c r="C227" s="20"/>
      <c r="Z227" s="126" cm="1">
        <f t="array" ref="Z227">INDEX(Map!$B$2:$V$22,-Paths!AA227+11,Paths!AB227+11)</f>
        <v>0</v>
      </c>
      <c r="AA227" s="127">
        <f t="shared" si="9"/>
        <v>0</v>
      </c>
      <c r="AB227" s="127">
        <f t="shared" si="10"/>
        <v>6</v>
      </c>
      <c r="AC227" s="52" t="str">
        <f t="shared" si="11"/>
        <v>6, 0</v>
      </c>
    </row>
    <row r="228" spans="1:29" x14ac:dyDescent="0.3">
      <c r="A228" s="27"/>
      <c r="B228" s="27"/>
      <c r="C228" s="28"/>
      <c r="Z228" s="126" cm="1">
        <f t="array" ref="Z228">INDEX(Map!$B$2:$V$22,-Paths!AA228+11,Paths!AB228+11)</f>
        <v>0</v>
      </c>
      <c r="AA228" s="127">
        <f t="shared" si="9"/>
        <v>0</v>
      </c>
      <c r="AB228" s="127">
        <f t="shared" si="10"/>
        <v>7</v>
      </c>
      <c r="AC228" s="52" t="str">
        <f t="shared" si="11"/>
        <v>7, 0</v>
      </c>
    </row>
    <row r="229" spans="1:29" x14ac:dyDescent="0.3">
      <c r="A229" s="32"/>
      <c r="B229" s="33"/>
      <c r="C229" s="33"/>
      <c r="Z229" s="126" cm="1">
        <f t="array" ref="Z229">INDEX(Map!$B$2:$V$22,-Paths!AA229+11,Paths!AB229+11)</f>
        <v>0</v>
      </c>
      <c r="AA229" s="127">
        <f t="shared" si="9"/>
        <v>0</v>
      </c>
      <c r="AB229" s="127">
        <f t="shared" si="10"/>
        <v>8</v>
      </c>
      <c r="AC229" s="52" t="str">
        <f t="shared" si="11"/>
        <v>8, 0</v>
      </c>
    </row>
    <row r="230" spans="1:29" x14ac:dyDescent="0.3">
      <c r="A230" s="19"/>
      <c r="B230" s="19"/>
      <c r="C230" s="20"/>
      <c r="Z230" s="126" cm="1">
        <f t="array" ref="Z230">INDEX(Map!$B$2:$V$22,-Paths!AA230+11,Paths!AB230+11)</f>
        <v>0</v>
      </c>
      <c r="AA230" s="127">
        <f t="shared" si="9"/>
        <v>0</v>
      </c>
      <c r="AB230" s="127">
        <f t="shared" si="10"/>
        <v>9</v>
      </c>
      <c r="AC230" s="52" t="str">
        <f t="shared" si="11"/>
        <v>9, 0</v>
      </c>
    </row>
    <row r="231" spans="1:29" x14ac:dyDescent="0.3">
      <c r="A231" s="27"/>
      <c r="B231" s="27"/>
      <c r="C231" s="28"/>
      <c r="Z231" s="126" cm="1">
        <f t="array" ref="Z231">INDEX(Map!$B$2:$V$22,-Paths!AA231+11,Paths!AB231+11)</f>
        <v>0</v>
      </c>
      <c r="AA231" s="127">
        <f t="shared" si="9"/>
        <v>0</v>
      </c>
      <c r="AB231" s="127">
        <f t="shared" si="10"/>
        <v>10</v>
      </c>
      <c r="AC231" s="52" t="str">
        <f t="shared" si="11"/>
        <v>10, 0</v>
      </c>
    </row>
    <row r="232" spans="1:29" x14ac:dyDescent="0.3">
      <c r="A232" s="32"/>
      <c r="B232" s="33"/>
      <c r="C232" s="33"/>
      <c r="Z232" s="126" cm="1">
        <f t="array" ref="Z232">INDEX(Map!$B$2:$V$22,-Paths!AA232+11,Paths!AB232+11)</f>
        <v>0</v>
      </c>
      <c r="AA232" s="127">
        <f t="shared" si="9"/>
        <v>1</v>
      </c>
      <c r="AB232" s="127">
        <f t="shared" si="10"/>
        <v>-10</v>
      </c>
      <c r="AC232" s="52" t="str">
        <f t="shared" si="11"/>
        <v>-10, 1</v>
      </c>
    </row>
    <row r="233" spans="1:29" x14ac:dyDescent="0.3">
      <c r="A233" s="19"/>
      <c r="B233" s="19"/>
      <c r="C233" s="20"/>
      <c r="Z233" s="126" cm="1">
        <f t="array" ref="Z233">INDEX(Map!$B$2:$V$22,-Paths!AA233+11,Paths!AB233+11)</f>
        <v>0</v>
      </c>
      <c r="AA233" s="127">
        <f t="shared" si="9"/>
        <v>1</v>
      </c>
      <c r="AB233" s="127">
        <f t="shared" si="10"/>
        <v>-9</v>
      </c>
      <c r="AC233" s="52" t="str">
        <f t="shared" si="11"/>
        <v>-9, 1</v>
      </c>
    </row>
    <row r="234" spans="1:29" x14ac:dyDescent="0.3">
      <c r="A234" s="27"/>
      <c r="B234" s="27"/>
      <c r="C234" s="28"/>
      <c r="Z234" s="126" cm="1">
        <f t="array" ref="Z234">INDEX(Map!$B$2:$V$22,-Paths!AA234+11,Paths!AB234+11)</f>
        <v>0</v>
      </c>
      <c r="AA234" s="127">
        <f t="shared" si="9"/>
        <v>1</v>
      </c>
      <c r="AB234" s="127">
        <f t="shared" si="10"/>
        <v>-8</v>
      </c>
      <c r="AC234" s="52" t="str">
        <f t="shared" si="11"/>
        <v>-8, 1</v>
      </c>
    </row>
    <row r="235" spans="1:29" x14ac:dyDescent="0.3">
      <c r="A235" s="32"/>
      <c r="B235" s="33"/>
      <c r="C235" s="33"/>
      <c r="Z235" s="126" cm="1">
        <f t="array" ref="Z235">INDEX(Map!$B$2:$V$22,-Paths!AA235+11,Paths!AB235+11)</f>
        <v>0</v>
      </c>
      <c r="AA235" s="127">
        <f t="shared" si="9"/>
        <v>1</v>
      </c>
      <c r="AB235" s="127">
        <f t="shared" si="10"/>
        <v>-7</v>
      </c>
      <c r="AC235" s="52" t="str">
        <f t="shared" si="11"/>
        <v>-7, 1</v>
      </c>
    </row>
    <row r="236" spans="1:29" x14ac:dyDescent="0.3">
      <c r="A236" s="19"/>
      <c r="B236" s="19"/>
      <c r="C236" s="20"/>
      <c r="Z236" s="126" cm="1">
        <f t="array" ref="Z236">INDEX(Map!$B$2:$V$22,-Paths!AA236+11,Paths!AB236+11)</f>
        <v>0</v>
      </c>
      <c r="AA236" s="127">
        <f t="shared" si="9"/>
        <v>1</v>
      </c>
      <c r="AB236" s="127">
        <f t="shared" si="10"/>
        <v>-6</v>
      </c>
      <c r="AC236" s="52" t="str">
        <f t="shared" si="11"/>
        <v>-6, 1</v>
      </c>
    </row>
    <row r="237" spans="1:29" x14ac:dyDescent="0.3">
      <c r="A237" s="27"/>
      <c r="B237" s="27"/>
      <c r="C237" s="28"/>
      <c r="Z237" s="126" cm="1">
        <f t="array" ref="Z237">INDEX(Map!$B$2:$V$22,-Paths!AA237+11,Paths!AB237+11)</f>
        <v>0</v>
      </c>
      <c r="AA237" s="127">
        <f t="shared" si="9"/>
        <v>1</v>
      </c>
      <c r="AB237" s="127">
        <f t="shared" si="10"/>
        <v>-5</v>
      </c>
      <c r="AC237" s="52" t="str">
        <f t="shared" si="11"/>
        <v>-5, 1</v>
      </c>
    </row>
    <row r="238" spans="1:29" x14ac:dyDescent="0.3">
      <c r="A238" s="32"/>
      <c r="B238" s="33"/>
      <c r="C238" s="33"/>
      <c r="Z238" s="126" cm="1">
        <f t="array" ref="Z238">INDEX(Map!$B$2:$V$22,-Paths!AA238+11,Paths!AB238+11)</f>
        <v>0</v>
      </c>
      <c r="AA238" s="127">
        <f t="shared" si="9"/>
        <v>1</v>
      </c>
      <c r="AB238" s="127">
        <f t="shared" si="10"/>
        <v>-4</v>
      </c>
      <c r="AC238" s="52" t="str">
        <f t="shared" si="11"/>
        <v>-4, 1</v>
      </c>
    </row>
    <row r="239" spans="1:29" x14ac:dyDescent="0.3">
      <c r="A239" s="19"/>
      <c r="B239" s="19"/>
      <c r="C239" s="20"/>
      <c r="Z239" s="126" cm="1">
        <f t="array" ref="Z239">INDEX(Map!$B$2:$V$22,-Paths!AA239+11,Paths!AB239+11)</f>
        <v>0</v>
      </c>
      <c r="AA239" s="127">
        <f t="shared" si="9"/>
        <v>1</v>
      </c>
      <c r="AB239" s="127">
        <f t="shared" si="10"/>
        <v>-3</v>
      </c>
      <c r="AC239" s="52" t="str">
        <f t="shared" si="11"/>
        <v>-3, 1</v>
      </c>
    </row>
    <row r="240" spans="1:29" x14ac:dyDescent="0.3">
      <c r="A240" s="27"/>
      <c r="B240" s="27"/>
      <c r="C240" s="28"/>
      <c r="Z240" s="126" cm="1">
        <f t="array" ref="Z240">INDEX(Map!$B$2:$V$22,-Paths!AA240+11,Paths!AB240+11)</f>
        <v>0</v>
      </c>
      <c r="AA240" s="127">
        <f t="shared" si="9"/>
        <v>1</v>
      </c>
      <c r="AB240" s="127">
        <f t="shared" si="10"/>
        <v>-2</v>
      </c>
      <c r="AC240" s="52" t="str">
        <f t="shared" si="11"/>
        <v>-2, 1</v>
      </c>
    </row>
    <row r="241" spans="1:29" x14ac:dyDescent="0.3">
      <c r="A241" s="32"/>
      <c r="B241" s="33"/>
      <c r="C241" s="33"/>
      <c r="Z241" s="126" cm="1">
        <f t="array" ref="Z241">INDEX(Map!$B$2:$V$22,-Paths!AA241+11,Paths!AB241+11)</f>
        <v>0</v>
      </c>
      <c r="AA241" s="127">
        <f t="shared" si="9"/>
        <v>1</v>
      </c>
      <c r="AB241" s="127">
        <f t="shared" si="10"/>
        <v>-1</v>
      </c>
      <c r="AC241" s="52" t="str">
        <f t="shared" si="11"/>
        <v>-1, 1</v>
      </c>
    </row>
    <row r="242" spans="1:29" x14ac:dyDescent="0.3">
      <c r="A242" s="19"/>
      <c r="B242" s="19"/>
      <c r="C242" s="20"/>
      <c r="Z242" s="126" cm="1">
        <f t="array" ref="Z242">INDEX(Map!$B$2:$V$22,-Paths!AA242+11,Paths!AB242+11)</f>
        <v>0</v>
      </c>
      <c r="AA242" s="127">
        <f t="shared" si="9"/>
        <v>1</v>
      </c>
      <c r="AB242" s="127">
        <f t="shared" si="10"/>
        <v>0</v>
      </c>
      <c r="AC242" s="52" t="str">
        <f t="shared" si="11"/>
        <v>0, 1</v>
      </c>
    </row>
    <row r="243" spans="1:29" x14ac:dyDescent="0.3">
      <c r="A243" s="27"/>
      <c r="B243" s="27"/>
      <c r="C243" s="28"/>
      <c r="Z243" s="126" t="str" cm="1">
        <f t="array" ref="Z243">INDEX(Map!$B$2:$V$22,-Paths!AA243+11,Paths!AB243+11)</f>
        <v>Feature1</v>
      </c>
      <c r="AA243" s="127">
        <f t="shared" si="9"/>
        <v>1</v>
      </c>
      <c r="AB243" s="127">
        <f t="shared" si="10"/>
        <v>1</v>
      </c>
      <c r="AC243" s="52" t="str">
        <f t="shared" si="11"/>
        <v>1, 1</v>
      </c>
    </row>
    <row r="244" spans="1:29" x14ac:dyDescent="0.3">
      <c r="A244" s="32"/>
      <c r="B244" s="33"/>
      <c r="C244" s="33"/>
      <c r="Z244" s="126" cm="1">
        <f t="array" ref="Z244">INDEX(Map!$B$2:$V$22,-Paths!AA244+11,Paths!AB244+11)</f>
        <v>0</v>
      </c>
      <c r="AA244" s="127">
        <f t="shared" si="9"/>
        <v>1</v>
      </c>
      <c r="AB244" s="127">
        <f t="shared" si="10"/>
        <v>2</v>
      </c>
      <c r="AC244" s="52" t="str">
        <f t="shared" si="11"/>
        <v>2, 1</v>
      </c>
    </row>
    <row r="245" spans="1:29" x14ac:dyDescent="0.3">
      <c r="A245" s="19"/>
      <c r="B245" s="19"/>
      <c r="C245" s="20"/>
      <c r="Z245" s="126" t="str" cm="1">
        <f t="array" ref="Z245">INDEX(Map!$B$2:$V$22,-Paths!AA245+11,Paths!AB245+11)</f>
        <v>Benefit1</v>
      </c>
      <c r="AA245" s="127">
        <f t="shared" si="9"/>
        <v>1</v>
      </c>
      <c r="AB245" s="127">
        <f t="shared" si="10"/>
        <v>3</v>
      </c>
      <c r="AC245" s="52" t="str">
        <f t="shared" si="11"/>
        <v>3, 1</v>
      </c>
    </row>
    <row r="246" spans="1:29" x14ac:dyDescent="0.3">
      <c r="A246" s="27"/>
      <c r="B246" s="27"/>
      <c r="C246" s="28"/>
      <c r="Z246" s="126" cm="1">
        <f t="array" ref="Z246">INDEX(Map!$B$2:$V$22,-Paths!AA246+11,Paths!AB246+11)</f>
        <v>0</v>
      </c>
      <c r="AA246" s="127">
        <f t="shared" si="9"/>
        <v>1</v>
      </c>
      <c r="AB246" s="127">
        <f t="shared" si="10"/>
        <v>4</v>
      </c>
      <c r="AC246" s="52" t="str">
        <f t="shared" si="11"/>
        <v>4, 1</v>
      </c>
    </row>
    <row r="247" spans="1:29" x14ac:dyDescent="0.3">
      <c r="A247" s="32"/>
      <c r="B247" s="33"/>
      <c r="C247" s="33"/>
      <c r="Z247" s="126" cm="1">
        <f t="array" ref="Z247">INDEX(Map!$B$2:$V$22,-Paths!AA247+11,Paths!AB247+11)</f>
        <v>0</v>
      </c>
      <c r="AA247" s="127">
        <f t="shared" si="9"/>
        <v>1</v>
      </c>
      <c r="AB247" s="127">
        <f t="shared" si="10"/>
        <v>5</v>
      </c>
      <c r="AC247" s="52" t="str">
        <f t="shared" si="11"/>
        <v>5, 1</v>
      </c>
    </row>
    <row r="248" spans="1:29" x14ac:dyDescent="0.3">
      <c r="A248" s="19"/>
      <c r="B248" s="19"/>
      <c r="C248" s="20"/>
      <c r="Z248" s="126" cm="1">
        <f t="array" ref="Z248">INDEX(Map!$B$2:$V$22,-Paths!AA248+11,Paths!AB248+11)</f>
        <v>0</v>
      </c>
      <c r="AA248" s="127">
        <f t="shared" si="9"/>
        <v>1</v>
      </c>
      <c r="AB248" s="127">
        <f t="shared" si="10"/>
        <v>6</v>
      </c>
      <c r="AC248" s="52" t="str">
        <f t="shared" si="11"/>
        <v>6, 1</v>
      </c>
    </row>
    <row r="249" spans="1:29" x14ac:dyDescent="0.3">
      <c r="A249" s="27"/>
      <c r="B249" s="27"/>
      <c r="C249" s="28"/>
      <c r="Z249" s="126" cm="1">
        <f t="array" ref="Z249">INDEX(Map!$B$2:$V$22,-Paths!AA249+11,Paths!AB249+11)</f>
        <v>0</v>
      </c>
      <c r="AA249" s="127">
        <f t="shared" si="9"/>
        <v>1</v>
      </c>
      <c r="AB249" s="127">
        <f t="shared" si="10"/>
        <v>7</v>
      </c>
      <c r="AC249" s="52" t="str">
        <f t="shared" si="11"/>
        <v>7, 1</v>
      </c>
    </row>
    <row r="250" spans="1:29" x14ac:dyDescent="0.3">
      <c r="A250" s="32"/>
      <c r="B250" s="33"/>
      <c r="C250" s="33"/>
      <c r="Z250" s="126" cm="1">
        <f t="array" ref="Z250">INDEX(Map!$B$2:$V$22,-Paths!AA250+11,Paths!AB250+11)</f>
        <v>0</v>
      </c>
      <c r="AA250" s="127">
        <f t="shared" si="9"/>
        <v>1</v>
      </c>
      <c r="AB250" s="127">
        <f t="shared" si="10"/>
        <v>8</v>
      </c>
      <c r="AC250" s="52" t="str">
        <f t="shared" si="11"/>
        <v>8, 1</v>
      </c>
    </row>
    <row r="251" spans="1:29" x14ac:dyDescent="0.3">
      <c r="A251" s="19"/>
      <c r="B251" s="19"/>
      <c r="C251" s="20"/>
      <c r="Z251" s="126" cm="1">
        <f t="array" ref="Z251">INDEX(Map!$B$2:$V$22,-Paths!AA251+11,Paths!AB251+11)</f>
        <v>0</v>
      </c>
      <c r="AA251" s="127">
        <f t="shared" si="9"/>
        <v>1</v>
      </c>
      <c r="AB251" s="127">
        <f t="shared" si="10"/>
        <v>9</v>
      </c>
      <c r="AC251" s="52" t="str">
        <f t="shared" si="11"/>
        <v>9, 1</v>
      </c>
    </row>
    <row r="252" spans="1:29" x14ac:dyDescent="0.3">
      <c r="A252" s="27"/>
      <c r="B252" s="27"/>
      <c r="C252" s="28"/>
      <c r="Z252" s="126" cm="1">
        <f t="array" ref="Z252">INDEX(Map!$B$2:$V$22,-Paths!AA252+11,Paths!AB252+11)</f>
        <v>0</v>
      </c>
      <c r="AA252" s="127">
        <f t="shared" si="9"/>
        <v>1</v>
      </c>
      <c r="AB252" s="127">
        <f t="shared" si="10"/>
        <v>10</v>
      </c>
      <c r="AC252" s="52" t="str">
        <f t="shared" si="11"/>
        <v>10, 1</v>
      </c>
    </row>
    <row r="253" spans="1:29" x14ac:dyDescent="0.3">
      <c r="A253" s="32"/>
      <c r="B253" s="33"/>
      <c r="C253" s="33"/>
      <c r="Z253" s="126" cm="1">
        <f t="array" ref="Z253">INDEX(Map!$B$2:$V$22,-Paths!AA253+11,Paths!AB253+11)</f>
        <v>0</v>
      </c>
      <c r="AA253" s="127">
        <f t="shared" si="9"/>
        <v>2</v>
      </c>
      <c r="AB253" s="127">
        <f t="shared" si="10"/>
        <v>-10</v>
      </c>
      <c r="AC253" s="52" t="str">
        <f t="shared" si="11"/>
        <v>-10, 2</v>
      </c>
    </row>
    <row r="254" spans="1:29" x14ac:dyDescent="0.3">
      <c r="A254" s="19"/>
      <c r="B254" s="19"/>
      <c r="C254" s="20"/>
      <c r="Z254" s="126" cm="1">
        <f t="array" ref="Z254">INDEX(Map!$B$2:$V$22,-Paths!AA254+11,Paths!AB254+11)</f>
        <v>0</v>
      </c>
      <c r="AA254" s="127">
        <f t="shared" si="9"/>
        <v>2</v>
      </c>
      <c r="AB254" s="127">
        <f t="shared" si="10"/>
        <v>-9</v>
      </c>
      <c r="AC254" s="52" t="str">
        <f t="shared" si="11"/>
        <v>-9, 2</v>
      </c>
    </row>
    <row r="255" spans="1:29" x14ac:dyDescent="0.3">
      <c r="A255" s="27"/>
      <c r="B255" s="27"/>
      <c r="C255" s="28"/>
      <c r="Z255" s="126" cm="1">
        <f t="array" ref="Z255">INDEX(Map!$B$2:$V$22,-Paths!AA255+11,Paths!AB255+11)</f>
        <v>0</v>
      </c>
      <c r="AA255" s="127">
        <f t="shared" si="9"/>
        <v>2</v>
      </c>
      <c r="AB255" s="127">
        <f t="shared" si="10"/>
        <v>-8</v>
      </c>
      <c r="AC255" s="52" t="str">
        <f t="shared" si="11"/>
        <v>-8, 2</v>
      </c>
    </row>
    <row r="256" spans="1:29" x14ac:dyDescent="0.3">
      <c r="A256" s="32"/>
      <c r="B256" s="33"/>
      <c r="C256" s="33"/>
      <c r="Z256" s="126" cm="1">
        <f t="array" ref="Z256">INDEX(Map!$B$2:$V$22,-Paths!AA256+11,Paths!AB256+11)</f>
        <v>0</v>
      </c>
      <c r="AA256" s="127">
        <f t="shared" si="9"/>
        <v>2</v>
      </c>
      <c r="AB256" s="127">
        <f t="shared" si="10"/>
        <v>-7</v>
      </c>
      <c r="AC256" s="52" t="str">
        <f t="shared" si="11"/>
        <v>-7, 2</v>
      </c>
    </row>
    <row r="257" spans="1:29" x14ac:dyDescent="0.3">
      <c r="A257" s="19"/>
      <c r="B257" s="19"/>
      <c r="C257" s="20"/>
      <c r="Z257" s="126" cm="1">
        <f t="array" ref="Z257">INDEX(Map!$B$2:$V$22,-Paths!AA257+11,Paths!AB257+11)</f>
        <v>0</v>
      </c>
      <c r="AA257" s="127">
        <f t="shared" ref="AA257:AA320" si="12">QUOTIENT(ROW(AB257)-1,21)-10</f>
        <v>2</v>
      </c>
      <c r="AB257" s="127">
        <f t="shared" ref="AB257:AB320" si="13">MOD(ROW(AB257)-1,21)-10</f>
        <v>-6</v>
      </c>
      <c r="AC257" s="52" t="str">
        <f t="shared" si="11"/>
        <v>-6, 2</v>
      </c>
    </row>
    <row r="258" spans="1:29" x14ac:dyDescent="0.3">
      <c r="A258" s="27"/>
      <c r="B258" s="27"/>
      <c r="C258" s="28"/>
      <c r="Z258" s="126" cm="1">
        <f t="array" ref="Z258">INDEX(Map!$B$2:$V$22,-Paths!AA258+11,Paths!AB258+11)</f>
        <v>0</v>
      </c>
      <c r="AA258" s="127">
        <f t="shared" si="12"/>
        <v>2</v>
      </c>
      <c r="AB258" s="127">
        <f t="shared" si="13"/>
        <v>-5</v>
      </c>
      <c r="AC258" s="52" t="str">
        <f t="shared" ref="AC258:AC321" si="14">AB258&amp;", "&amp;AA258</f>
        <v>-5, 2</v>
      </c>
    </row>
    <row r="259" spans="1:29" x14ac:dyDescent="0.3">
      <c r="A259" s="32"/>
      <c r="B259" s="33"/>
      <c r="C259" s="33"/>
      <c r="Z259" s="126" cm="1">
        <f t="array" ref="Z259">INDEX(Map!$B$2:$V$22,-Paths!AA259+11,Paths!AB259+11)</f>
        <v>0</v>
      </c>
      <c r="AA259" s="127">
        <f t="shared" si="12"/>
        <v>2</v>
      </c>
      <c r="AB259" s="127">
        <f t="shared" si="13"/>
        <v>-4</v>
      </c>
      <c r="AC259" s="52" t="str">
        <f t="shared" si="14"/>
        <v>-4, 2</v>
      </c>
    </row>
    <row r="260" spans="1:29" x14ac:dyDescent="0.3">
      <c r="A260" s="19"/>
      <c r="B260" s="19"/>
      <c r="C260" s="20"/>
      <c r="Z260" s="126" cm="1">
        <f t="array" ref="Z260">INDEX(Map!$B$2:$V$22,-Paths!AA260+11,Paths!AB260+11)</f>
        <v>0</v>
      </c>
      <c r="AA260" s="127">
        <f t="shared" si="12"/>
        <v>2</v>
      </c>
      <c r="AB260" s="127">
        <f t="shared" si="13"/>
        <v>-3</v>
      </c>
      <c r="AC260" s="52" t="str">
        <f t="shared" si="14"/>
        <v>-3, 2</v>
      </c>
    </row>
    <row r="261" spans="1:29" x14ac:dyDescent="0.3">
      <c r="A261" s="27"/>
      <c r="B261" s="27"/>
      <c r="C261" s="28"/>
      <c r="Z261" s="126" cm="1">
        <f t="array" ref="Z261">INDEX(Map!$B$2:$V$22,-Paths!AA261+11,Paths!AB261+11)</f>
        <v>0</v>
      </c>
      <c r="AA261" s="127">
        <f t="shared" si="12"/>
        <v>2</v>
      </c>
      <c r="AB261" s="127">
        <f t="shared" si="13"/>
        <v>-2</v>
      </c>
      <c r="AC261" s="52" t="str">
        <f t="shared" si="14"/>
        <v>-2, 2</v>
      </c>
    </row>
    <row r="262" spans="1:29" x14ac:dyDescent="0.3">
      <c r="A262" s="32"/>
      <c r="B262" s="33"/>
      <c r="C262" s="33"/>
      <c r="Z262" s="126" cm="1">
        <f t="array" ref="Z262">INDEX(Map!$B$2:$V$22,-Paths!AA262+11,Paths!AB262+11)</f>
        <v>0</v>
      </c>
      <c r="AA262" s="127">
        <f t="shared" si="12"/>
        <v>2</v>
      </c>
      <c r="AB262" s="127">
        <f t="shared" si="13"/>
        <v>-1</v>
      </c>
      <c r="AC262" s="52" t="str">
        <f t="shared" si="14"/>
        <v>-1, 2</v>
      </c>
    </row>
    <row r="263" spans="1:29" x14ac:dyDescent="0.3">
      <c r="A263" s="19"/>
      <c r="B263" s="19"/>
      <c r="C263" s="20"/>
      <c r="Z263" s="126" cm="1">
        <f t="array" ref="Z263">INDEX(Map!$B$2:$V$22,-Paths!AA263+11,Paths!AB263+11)</f>
        <v>0</v>
      </c>
      <c r="AA263" s="127">
        <f t="shared" si="12"/>
        <v>2</v>
      </c>
      <c r="AB263" s="127">
        <f t="shared" si="13"/>
        <v>0</v>
      </c>
      <c r="AC263" s="52" t="str">
        <f t="shared" si="14"/>
        <v>0, 2</v>
      </c>
    </row>
    <row r="264" spans="1:29" x14ac:dyDescent="0.3">
      <c r="A264" s="27"/>
      <c r="B264" s="27"/>
      <c r="C264" s="28"/>
      <c r="Z264" s="126" t="str" cm="1">
        <f t="array" ref="Z264">INDEX(Map!$B$2:$V$22,-Paths!AA264+11,Paths!AB264+11)</f>
        <v>Feature2</v>
      </c>
      <c r="AA264" s="127">
        <f t="shared" si="12"/>
        <v>2</v>
      </c>
      <c r="AB264" s="127">
        <f t="shared" si="13"/>
        <v>1</v>
      </c>
      <c r="AC264" s="52" t="str">
        <f t="shared" si="14"/>
        <v>1, 2</v>
      </c>
    </row>
    <row r="265" spans="1:29" x14ac:dyDescent="0.3">
      <c r="A265" s="32"/>
      <c r="B265" s="33"/>
      <c r="C265" s="33"/>
      <c r="Z265" s="126" cm="1">
        <f t="array" ref="Z265">INDEX(Map!$B$2:$V$22,-Paths!AA265+11,Paths!AB265+11)</f>
        <v>0</v>
      </c>
      <c r="AA265" s="127">
        <f t="shared" si="12"/>
        <v>2</v>
      </c>
      <c r="AB265" s="127">
        <f t="shared" si="13"/>
        <v>2</v>
      </c>
      <c r="AC265" s="52" t="str">
        <f t="shared" si="14"/>
        <v>2, 2</v>
      </c>
    </row>
    <row r="266" spans="1:29" x14ac:dyDescent="0.3">
      <c r="A266" s="19"/>
      <c r="B266" s="19"/>
      <c r="C266" s="20"/>
      <c r="Z266" s="126" t="str" cm="1">
        <f t="array" ref="Z266">INDEX(Map!$B$2:$V$22,-Paths!AA266+11,Paths!AB266+11)</f>
        <v>Benefit2</v>
      </c>
      <c r="AA266" s="127">
        <f t="shared" si="12"/>
        <v>2</v>
      </c>
      <c r="AB266" s="127">
        <f t="shared" si="13"/>
        <v>3</v>
      </c>
      <c r="AC266" s="52" t="str">
        <f t="shared" si="14"/>
        <v>3, 2</v>
      </c>
    </row>
    <row r="267" spans="1:29" x14ac:dyDescent="0.3">
      <c r="A267" s="27"/>
      <c r="B267" s="27"/>
      <c r="C267" s="28"/>
      <c r="Z267" s="126" cm="1">
        <f t="array" ref="Z267">INDEX(Map!$B$2:$V$22,-Paths!AA267+11,Paths!AB267+11)</f>
        <v>0</v>
      </c>
      <c r="AA267" s="127">
        <f t="shared" si="12"/>
        <v>2</v>
      </c>
      <c r="AB267" s="127">
        <f t="shared" si="13"/>
        <v>4</v>
      </c>
      <c r="AC267" s="52" t="str">
        <f t="shared" si="14"/>
        <v>4, 2</v>
      </c>
    </row>
    <row r="268" spans="1:29" x14ac:dyDescent="0.3">
      <c r="A268" s="32"/>
      <c r="B268" s="33"/>
      <c r="C268" s="33"/>
      <c r="Z268" s="126" cm="1">
        <f t="array" ref="Z268">INDEX(Map!$B$2:$V$22,-Paths!AA268+11,Paths!AB268+11)</f>
        <v>0</v>
      </c>
      <c r="AA268" s="127">
        <f t="shared" si="12"/>
        <v>2</v>
      </c>
      <c r="AB268" s="127">
        <f t="shared" si="13"/>
        <v>5</v>
      </c>
      <c r="AC268" s="52" t="str">
        <f t="shared" si="14"/>
        <v>5, 2</v>
      </c>
    </row>
    <row r="269" spans="1:29" x14ac:dyDescent="0.3">
      <c r="A269" s="19"/>
      <c r="B269" s="19"/>
      <c r="C269" s="20"/>
      <c r="Z269" s="126" cm="1">
        <f t="array" ref="Z269">INDEX(Map!$B$2:$V$22,-Paths!AA269+11,Paths!AB269+11)</f>
        <v>0</v>
      </c>
      <c r="AA269" s="127">
        <f t="shared" si="12"/>
        <v>2</v>
      </c>
      <c r="AB269" s="127">
        <f t="shared" si="13"/>
        <v>6</v>
      </c>
      <c r="AC269" s="52" t="str">
        <f t="shared" si="14"/>
        <v>6, 2</v>
      </c>
    </row>
    <row r="270" spans="1:29" x14ac:dyDescent="0.3">
      <c r="A270" s="27"/>
      <c r="B270" s="27"/>
      <c r="C270" s="28"/>
      <c r="Z270" s="126" cm="1">
        <f t="array" ref="Z270">INDEX(Map!$B$2:$V$22,-Paths!AA270+11,Paths!AB270+11)</f>
        <v>0</v>
      </c>
      <c r="AA270" s="127">
        <f t="shared" si="12"/>
        <v>2</v>
      </c>
      <c r="AB270" s="127">
        <f t="shared" si="13"/>
        <v>7</v>
      </c>
      <c r="AC270" s="52" t="str">
        <f t="shared" si="14"/>
        <v>7, 2</v>
      </c>
    </row>
    <row r="271" spans="1:29" x14ac:dyDescent="0.3">
      <c r="A271" s="32"/>
      <c r="B271" s="33"/>
      <c r="C271" s="33"/>
      <c r="Z271" s="126" cm="1">
        <f t="array" ref="Z271">INDEX(Map!$B$2:$V$22,-Paths!AA271+11,Paths!AB271+11)</f>
        <v>0</v>
      </c>
      <c r="AA271" s="127">
        <f t="shared" si="12"/>
        <v>2</v>
      </c>
      <c r="AB271" s="127">
        <f t="shared" si="13"/>
        <v>8</v>
      </c>
      <c r="AC271" s="52" t="str">
        <f t="shared" si="14"/>
        <v>8, 2</v>
      </c>
    </row>
    <row r="272" spans="1:29" x14ac:dyDescent="0.3">
      <c r="A272" s="19"/>
      <c r="B272" s="19"/>
      <c r="C272" s="20"/>
      <c r="Z272" s="126" cm="1">
        <f t="array" ref="Z272">INDEX(Map!$B$2:$V$22,-Paths!AA272+11,Paths!AB272+11)</f>
        <v>0</v>
      </c>
      <c r="AA272" s="127">
        <f t="shared" si="12"/>
        <v>2</v>
      </c>
      <c r="AB272" s="127">
        <f t="shared" si="13"/>
        <v>9</v>
      </c>
      <c r="AC272" s="52" t="str">
        <f t="shared" si="14"/>
        <v>9, 2</v>
      </c>
    </row>
    <row r="273" spans="1:29" x14ac:dyDescent="0.3">
      <c r="A273" s="27"/>
      <c r="B273" s="27"/>
      <c r="C273" s="28"/>
      <c r="Z273" s="126" cm="1">
        <f t="array" ref="Z273">INDEX(Map!$B$2:$V$22,-Paths!AA273+11,Paths!AB273+11)</f>
        <v>0</v>
      </c>
      <c r="AA273" s="127">
        <f t="shared" si="12"/>
        <v>2</v>
      </c>
      <c r="AB273" s="127">
        <f t="shared" si="13"/>
        <v>10</v>
      </c>
      <c r="AC273" s="52" t="str">
        <f t="shared" si="14"/>
        <v>10, 2</v>
      </c>
    </row>
    <row r="274" spans="1:29" x14ac:dyDescent="0.3">
      <c r="A274" s="32"/>
      <c r="B274" s="33"/>
      <c r="C274" s="33"/>
      <c r="Z274" s="126" cm="1">
        <f t="array" ref="Z274">INDEX(Map!$B$2:$V$22,-Paths!AA274+11,Paths!AB274+11)</f>
        <v>0</v>
      </c>
      <c r="AA274" s="127">
        <f t="shared" si="12"/>
        <v>3</v>
      </c>
      <c r="AB274" s="127">
        <f t="shared" si="13"/>
        <v>-10</v>
      </c>
      <c r="AC274" s="52" t="str">
        <f t="shared" si="14"/>
        <v>-10, 3</v>
      </c>
    </row>
    <row r="275" spans="1:29" x14ac:dyDescent="0.3">
      <c r="A275" s="19"/>
      <c r="B275" s="19"/>
      <c r="C275" s="20"/>
      <c r="Z275" s="126" cm="1">
        <f t="array" ref="Z275">INDEX(Map!$B$2:$V$22,-Paths!AA275+11,Paths!AB275+11)</f>
        <v>0</v>
      </c>
      <c r="AA275" s="127">
        <f t="shared" si="12"/>
        <v>3</v>
      </c>
      <c r="AB275" s="127">
        <f t="shared" si="13"/>
        <v>-9</v>
      </c>
      <c r="AC275" s="52" t="str">
        <f t="shared" si="14"/>
        <v>-9, 3</v>
      </c>
    </row>
    <row r="276" spans="1:29" x14ac:dyDescent="0.3">
      <c r="A276" s="27"/>
      <c r="B276" s="27"/>
      <c r="C276" s="28"/>
      <c r="Z276" s="126" cm="1">
        <f t="array" ref="Z276">INDEX(Map!$B$2:$V$22,-Paths!AA276+11,Paths!AB276+11)</f>
        <v>0</v>
      </c>
      <c r="AA276" s="127">
        <f t="shared" si="12"/>
        <v>3</v>
      </c>
      <c r="AB276" s="127">
        <f t="shared" si="13"/>
        <v>-8</v>
      </c>
      <c r="AC276" s="52" t="str">
        <f t="shared" si="14"/>
        <v>-8, 3</v>
      </c>
    </row>
    <row r="277" spans="1:29" x14ac:dyDescent="0.3">
      <c r="A277" s="32"/>
      <c r="B277" s="33"/>
      <c r="C277" s="33"/>
      <c r="Z277" s="126" cm="1">
        <f t="array" ref="Z277">INDEX(Map!$B$2:$V$22,-Paths!AA277+11,Paths!AB277+11)</f>
        <v>0</v>
      </c>
      <c r="AA277" s="127">
        <f t="shared" si="12"/>
        <v>3</v>
      </c>
      <c r="AB277" s="127">
        <f t="shared" si="13"/>
        <v>-7</v>
      </c>
      <c r="AC277" s="52" t="str">
        <f t="shared" si="14"/>
        <v>-7, 3</v>
      </c>
    </row>
    <row r="278" spans="1:29" x14ac:dyDescent="0.3">
      <c r="A278" s="19"/>
      <c r="B278" s="19"/>
      <c r="C278" s="20"/>
      <c r="Z278" s="126" cm="1">
        <f t="array" ref="Z278">INDEX(Map!$B$2:$V$22,-Paths!AA278+11,Paths!AB278+11)</f>
        <v>0</v>
      </c>
      <c r="AA278" s="127">
        <f t="shared" si="12"/>
        <v>3</v>
      </c>
      <c r="AB278" s="127">
        <f t="shared" si="13"/>
        <v>-6</v>
      </c>
      <c r="AC278" s="52" t="str">
        <f t="shared" si="14"/>
        <v>-6, 3</v>
      </c>
    </row>
    <row r="279" spans="1:29" x14ac:dyDescent="0.3">
      <c r="A279" s="27"/>
      <c r="B279" s="27"/>
      <c r="C279" s="28"/>
      <c r="Z279" s="126" cm="1">
        <f t="array" ref="Z279">INDEX(Map!$B$2:$V$22,-Paths!AA279+11,Paths!AB279+11)</f>
        <v>0</v>
      </c>
      <c r="AA279" s="127">
        <f t="shared" si="12"/>
        <v>3</v>
      </c>
      <c r="AB279" s="127">
        <f t="shared" si="13"/>
        <v>-5</v>
      </c>
      <c r="AC279" s="52" t="str">
        <f t="shared" si="14"/>
        <v>-5, 3</v>
      </c>
    </row>
    <row r="280" spans="1:29" x14ac:dyDescent="0.3">
      <c r="A280" s="32"/>
      <c r="B280" s="33"/>
      <c r="C280" s="33"/>
      <c r="Z280" s="126" cm="1">
        <f t="array" ref="Z280">INDEX(Map!$B$2:$V$22,-Paths!AA280+11,Paths!AB280+11)</f>
        <v>0</v>
      </c>
      <c r="AA280" s="127">
        <f t="shared" si="12"/>
        <v>3</v>
      </c>
      <c r="AB280" s="127">
        <f t="shared" si="13"/>
        <v>-4</v>
      </c>
      <c r="AC280" s="52" t="str">
        <f t="shared" si="14"/>
        <v>-4, 3</v>
      </c>
    </row>
    <row r="281" spans="1:29" x14ac:dyDescent="0.3">
      <c r="A281" s="19"/>
      <c r="B281" s="19"/>
      <c r="C281" s="20"/>
      <c r="Z281" s="126" cm="1">
        <f t="array" ref="Z281">INDEX(Map!$B$2:$V$22,-Paths!AA281+11,Paths!AB281+11)</f>
        <v>0</v>
      </c>
      <c r="AA281" s="127">
        <f t="shared" si="12"/>
        <v>3</v>
      </c>
      <c r="AB281" s="127">
        <f t="shared" si="13"/>
        <v>-3</v>
      </c>
      <c r="AC281" s="52" t="str">
        <f t="shared" si="14"/>
        <v>-3, 3</v>
      </c>
    </row>
    <row r="282" spans="1:29" x14ac:dyDescent="0.3">
      <c r="A282" s="27"/>
      <c r="B282" s="27"/>
      <c r="C282" s="28"/>
      <c r="Z282" s="126" cm="1">
        <f t="array" ref="Z282">INDEX(Map!$B$2:$V$22,-Paths!AA282+11,Paths!AB282+11)</f>
        <v>0</v>
      </c>
      <c r="AA282" s="127">
        <f t="shared" si="12"/>
        <v>3</v>
      </c>
      <c r="AB282" s="127">
        <f t="shared" si="13"/>
        <v>-2</v>
      </c>
      <c r="AC282" s="52" t="str">
        <f t="shared" si="14"/>
        <v>-2, 3</v>
      </c>
    </row>
    <row r="283" spans="1:29" x14ac:dyDescent="0.3">
      <c r="A283" s="32"/>
      <c r="B283" s="33"/>
      <c r="C283" s="33"/>
      <c r="Z283" s="126" cm="1">
        <f t="array" ref="Z283">INDEX(Map!$B$2:$V$22,-Paths!AA283+11,Paths!AB283+11)</f>
        <v>0</v>
      </c>
      <c r="AA283" s="127">
        <f t="shared" si="12"/>
        <v>3</v>
      </c>
      <c r="AB283" s="127">
        <f t="shared" si="13"/>
        <v>-1</v>
      </c>
      <c r="AC283" s="52" t="str">
        <f t="shared" si="14"/>
        <v>-1, 3</v>
      </c>
    </row>
    <row r="284" spans="1:29" x14ac:dyDescent="0.3">
      <c r="A284" s="19"/>
      <c r="B284" s="19"/>
      <c r="C284" s="20"/>
      <c r="Z284" s="126" cm="1">
        <f t="array" ref="Z284">INDEX(Map!$B$2:$V$22,-Paths!AA284+11,Paths!AB284+11)</f>
        <v>0</v>
      </c>
      <c r="AA284" s="127">
        <f t="shared" si="12"/>
        <v>3</v>
      </c>
      <c r="AB284" s="127">
        <f t="shared" si="13"/>
        <v>0</v>
      </c>
      <c r="AC284" s="52" t="str">
        <f t="shared" si="14"/>
        <v>0, 3</v>
      </c>
    </row>
    <row r="285" spans="1:29" x14ac:dyDescent="0.3">
      <c r="A285" s="27"/>
      <c r="B285" s="27"/>
      <c r="C285" s="28"/>
      <c r="Z285" s="126" t="str" cm="1">
        <f t="array" ref="Z285">INDEX(Map!$B$2:$V$22,-Paths!AA285+11,Paths!AB285+11)</f>
        <v>Feature3</v>
      </c>
      <c r="AA285" s="127">
        <f t="shared" si="12"/>
        <v>3</v>
      </c>
      <c r="AB285" s="127">
        <f t="shared" si="13"/>
        <v>1</v>
      </c>
      <c r="AC285" s="52" t="str">
        <f t="shared" si="14"/>
        <v>1, 3</v>
      </c>
    </row>
    <row r="286" spans="1:29" x14ac:dyDescent="0.3">
      <c r="A286" s="32"/>
      <c r="B286" s="33"/>
      <c r="C286" s="33"/>
      <c r="Z286" s="126" cm="1">
        <f t="array" ref="Z286">INDEX(Map!$B$2:$V$22,-Paths!AA286+11,Paths!AB286+11)</f>
        <v>0</v>
      </c>
      <c r="AA286" s="127">
        <f t="shared" si="12"/>
        <v>3</v>
      </c>
      <c r="AB286" s="127">
        <f t="shared" si="13"/>
        <v>2</v>
      </c>
      <c r="AC286" s="52" t="str">
        <f t="shared" si="14"/>
        <v>2, 3</v>
      </c>
    </row>
    <row r="287" spans="1:29" x14ac:dyDescent="0.3">
      <c r="A287" s="19"/>
      <c r="B287" s="19"/>
      <c r="C287" s="20"/>
      <c r="Z287" s="126" t="str" cm="1">
        <f t="array" ref="Z287">INDEX(Map!$B$2:$V$22,-Paths!AA287+11,Paths!AB287+11)</f>
        <v>Benefit3</v>
      </c>
      <c r="AA287" s="127">
        <f t="shared" si="12"/>
        <v>3</v>
      </c>
      <c r="AB287" s="127">
        <f t="shared" si="13"/>
        <v>3</v>
      </c>
      <c r="AC287" s="52" t="str">
        <f t="shared" si="14"/>
        <v>3, 3</v>
      </c>
    </row>
    <row r="288" spans="1:29" x14ac:dyDescent="0.3">
      <c r="A288" s="27"/>
      <c r="B288" s="27"/>
      <c r="C288" s="28"/>
      <c r="Z288" s="126" cm="1">
        <f t="array" ref="Z288">INDEX(Map!$B$2:$V$22,-Paths!AA288+11,Paths!AB288+11)</f>
        <v>0</v>
      </c>
      <c r="AA288" s="127">
        <f t="shared" si="12"/>
        <v>3</v>
      </c>
      <c r="AB288" s="127">
        <f t="shared" si="13"/>
        <v>4</v>
      </c>
      <c r="AC288" s="52" t="str">
        <f t="shared" si="14"/>
        <v>4, 3</v>
      </c>
    </row>
    <row r="289" spans="1:29" x14ac:dyDescent="0.3">
      <c r="A289" s="32"/>
      <c r="B289" s="33"/>
      <c r="C289" s="33"/>
      <c r="Z289" s="126" cm="1">
        <f t="array" ref="Z289">INDEX(Map!$B$2:$V$22,-Paths!AA289+11,Paths!AB289+11)</f>
        <v>0</v>
      </c>
      <c r="AA289" s="127">
        <f t="shared" si="12"/>
        <v>3</v>
      </c>
      <c r="AB289" s="127">
        <f t="shared" si="13"/>
        <v>5</v>
      </c>
      <c r="AC289" s="52" t="str">
        <f t="shared" si="14"/>
        <v>5, 3</v>
      </c>
    </row>
    <row r="290" spans="1:29" x14ac:dyDescent="0.3">
      <c r="A290" s="19"/>
      <c r="B290" s="19"/>
      <c r="C290" s="20"/>
      <c r="Z290" s="126" cm="1">
        <f t="array" ref="Z290">INDEX(Map!$B$2:$V$22,-Paths!AA290+11,Paths!AB290+11)</f>
        <v>0</v>
      </c>
      <c r="AA290" s="127">
        <f t="shared" si="12"/>
        <v>3</v>
      </c>
      <c r="AB290" s="127">
        <f t="shared" si="13"/>
        <v>6</v>
      </c>
      <c r="AC290" s="52" t="str">
        <f t="shared" si="14"/>
        <v>6, 3</v>
      </c>
    </row>
    <row r="291" spans="1:29" x14ac:dyDescent="0.3">
      <c r="A291" s="27"/>
      <c r="B291" s="27"/>
      <c r="C291" s="28"/>
      <c r="Z291" s="126" cm="1">
        <f t="array" ref="Z291">INDEX(Map!$B$2:$V$22,-Paths!AA291+11,Paths!AB291+11)</f>
        <v>0</v>
      </c>
      <c r="AA291" s="127">
        <f t="shared" si="12"/>
        <v>3</v>
      </c>
      <c r="AB291" s="127">
        <f t="shared" si="13"/>
        <v>7</v>
      </c>
      <c r="AC291" s="52" t="str">
        <f t="shared" si="14"/>
        <v>7, 3</v>
      </c>
    </row>
    <row r="292" spans="1:29" x14ac:dyDescent="0.3">
      <c r="A292" s="32"/>
      <c r="B292" s="33"/>
      <c r="C292" s="33"/>
      <c r="Z292" s="126" cm="1">
        <f t="array" ref="Z292">INDEX(Map!$B$2:$V$22,-Paths!AA292+11,Paths!AB292+11)</f>
        <v>0</v>
      </c>
      <c r="AA292" s="127">
        <f t="shared" si="12"/>
        <v>3</v>
      </c>
      <c r="AB292" s="127">
        <f t="shared" si="13"/>
        <v>8</v>
      </c>
      <c r="AC292" s="52" t="str">
        <f t="shared" si="14"/>
        <v>8, 3</v>
      </c>
    </row>
    <row r="293" spans="1:29" x14ac:dyDescent="0.3">
      <c r="A293" s="19"/>
      <c r="B293" s="19"/>
      <c r="C293" s="20"/>
      <c r="Z293" s="126" cm="1">
        <f t="array" ref="Z293">INDEX(Map!$B$2:$V$22,-Paths!AA293+11,Paths!AB293+11)</f>
        <v>0</v>
      </c>
      <c r="AA293" s="127">
        <f t="shared" si="12"/>
        <v>3</v>
      </c>
      <c r="AB293" s="127">
        <f t="shared" si="13"/>
        <v>9</v>
      </c>
      <c r="AC293" s="52" t="str">
        <f t="shared" si="14"/>
        <v>9, 3</v>
      </c>
    </row>
    <row r="294" spans="1:29" x14ac:dyDescent="0.3">
      <c r="A294" s="27"/>
      <c r="B294" s="27"/>
      <c r="C294" s="28"/>
      <c r="Z294" s="126" cm="1">
        <f t="array" ref="Z294">INDEX(Map!$B$2:$V$22,-Paths!AA294+11,Paths!AB294+11)</f>
        <v>0</v>
      </c>
      <c r="AA294" s="127">
        <f t="shared" si="12"/>
        <v>3</v>
      </c>
      <c r="AB294" s="127">
        <f t="shared" si="13"/>
        <v>10</v>
      </c>
      <c r="AC294" s="52" t="str">
        <f t="shared" si="14"/>
        <v>10, 3</v>
      </c>
    </row>
    <row r="295" spans="1:29" x14ac:dyDescent="0.3">
      <c r="A295" s="32"/>
      <c r="B295" s="33"/>
      <c r="C295" s="33"/>
      <c r="Z295" s="126" cm="1">
        <f t="array" ref="Z295">INDEX(Map!$B$2:$V$22,-Paths!AA295+11,Paths!AB295+11)</f>
        <v>0</v>
      </c>
      <c r="AA295" s="127">
        <f t="shared" si="12"/>
        <v>4</v>
      </c>
      <c r="AB295" s="127">
        <f t="shared" si="13"/>
        <v>-10</v>
      </c>
      <c r="AC295" s="52" t="str">
        <f t="shared" si="14"/>
        <v>-10, 4</v>
      </c>
    </row>
    <row r="296" spans="1:29" x14ac:dyDescent="0.3">
      <c r="A296" s="19"/>
      <c r="B296" s="19"/>
      <c r="C296" s="20"/>
      <c r="Z296" s="126" cm="1">
        <f t="array" ref="Z296">INDEX(Map!$B$2:$V$22,-Paths!AA296+11,Paths!AB296+11)</f>
        <v>0</v>
      </c>
      <c r="AA296" s="127">
        <f t="shared" si="12"/>
        <v>4</v>
      </c>
      <c r="AB296" s="127">
        <f t="shared" si="13"/>
        <v>-9</v>
      </c>
      <c r="AC296" s="52" t="str">
        <f t="shared" si="14"/>
        <v>-9, 4</v>
      </c>
    </row>
    <row r="297" spans="1:29" x14ac:dyDescent="0.3">
      <c r="A297" s="27"/>
      <c r="B297" s="27"/>
      <c r="C297" s="28"/>
      <c r="Z297" s="126" cm="1">
        <f t="array" ref="Z297">INDEX(Map!$B$2:$V$22,-Paths!AA297+11,Paths!AB297+11)</f>
        <v>0</v>
      </c>
      <c r="AA297" s="127">
        <f t="shared" si="12"/>
        <v>4</v>
      </c>
      <c r="AB297" s="127">
        <f t="shared" si="13"/>
        <v>-8</v>
      </c>
      <c r="AC297" s="52" t="str">
        <f t="shared" si="14"/>
        <v>-8, 4</v>
      </c>
    </row>
    <row r="298" spans="1:29" x14ac:dyDescent="0.3">
      <c r="A298" s="32"/>
      <c r="B298" s="33"/>
      <c r="C298" s="33"/>
      <c r="Z298" s="126" cm="1">
        <f t="array" ref="Z298">INDEX(Map!$B$2:$V$22,-Paths!AA298+11,Paths!AB298+11)</f>
        <v>0</v>
      </c>
      <c r="AA298" s="127">
        <f t="shared" si="12"/>
        <v>4</v>
      </c>
      <c r="AB298" s="127">
        <f t="shared" si="13"/>
        <v>-7</v>
      </c>
      <c r="AC298" s="52" t="str">
        <f t="shared" si="14"/>
        <v>-7, 4</v>
      </c>
    </row>
    <row r="299" spans="1:29" x14ac:dyDescent="0.3">
      <c r="A299" s="19"/>
      <c r="B299" s="19"/>
      <c r="C299" s="20"/>
      <c r="E299" s="34"/>
      <c r="Z299" s="126" cm="1">
        <f t="array" ref="Z299">INDEX(Map!$B$2:$V$22,-Paths!AA299+11,Paths!AB299+11)</f>
        <v>0</v>
      </c>
      <c r="AA299" s="127">
        <f t="shared" si="12"/>
        <v>4</v>
      </c>
      <c r="AB299" s="127">
        <f t="shared" si="13"/>
        <v>-6</v>
      </c>
      <c r="AC299" s="52" t="str">
        <f t="shared" si="14"/>
        <v>-6, 4</v>
      </c>
    </row>
    <row r="300" spans="1:29" x14ac:dyDescent="0.3">
      <c r="A300" s="27"/>
      <c r="B300" s="27"/>
      <c r="C300" s="28"/>
      <c r="Z300" s="126" cm="1">
        <f t="array" ref="Z300">INDEX(Map!$B$2:$V$22,-Paths!AA300+11,Paths!AB300+11)</f>
        <v>0</v>
      </c>
      <c r="AA300" s="127">
        <f t="shared" si="12"/>
        <v>4</v>
      </c>
      <c r="AB300" s="127">
        <f t="shared" si="13"/>
        <v>-5</v>
      </c>
      <c r="AC300" s="52" t="str">
        <f t="shared" si="14"/>
        <v>-5, 4</v>
      </c>
    </row>
    <row r="301" spans="1:29" ht="15" thickBot="1" x14ac:dyDescent="0.35">
      <c r="A301" s="32"/>
      <c r="B301" s="33"/>
      <c r="C301" s="33"/>
      <c r="Z301" s="126" cm="1">
        <f t="array" ref="Z301">INDEX(Map!$B$2:$V$22,-Paths!AA301+11,Paths!AB301+11)</f>
        <v>0</v>
      </c>
      <c r="AA301" s="127">
        <f t="shared" si="12"/>
        <v>4</v>
      </c>
      <c r="AB301" s="127">
        <f t="shared" si="13"/>
        <v>-4</v>
      </c>
      <c r="AC301" s="52" t="str">
        <f t="shared" si="14"/>
        <v>-4, 4</v>
      </c>
    </row>
    <row r="302" spans="1:29" ht="14.4" customHeight="1" x14ac:dyDescent="0.3">
      <c r="A302" s="19"/>
      <c r="B302" s="19"/>
      <c r="C302" s="65"/>
      <c r="D302" s="184"/>
      <c r="Z302" s="126" cm="1">
        <f t="array" ref="Z302">INDEX(Map!$B$2:$V$22,-Paths!AA302+11,Paths!AB302+11)</f>
        <v>0</v>
      </c>
      <c r="AA302" s="127">
        <f t="shared" si="12"/>
        <v>4</v>
      </c>
      <c r="AB302" s="127">
        <f t="shared" si="13"/>
        <v>-3</v>
      </c>
      <c r="AC302" s="52" t="str">
        <f t="shared" si="14"/>
        <v>-3, 4</v>
      </c>
    </row>
    <row r="303" spans="1:29" x14ac:dyDescent="0.3">
      <c r="A303" s="27"/>
      <c r="B303" s="27"/>
      <c r="C303" s="66"/>
      <c r="D303" s="185"/>
      <c r="Z303" s="126" cm="1">
        <f t="array" ref="Z303">INDEX(Map!$B$2:$V$22,-Paths!AA303+11,Paths!AB303+11)</f>
        <v>0</v>
      </c>
      <c r="AA303" s="127">
        <f t="shared" si="12"/>
        <v>4</v>
      </c>
      <c r="AB303" s="127">
        <f t="shared" si="13"/>
        <v>-2</v>
      </c>
      <c r="AC303" s="52" t="str">
        <f t="shared" si="14"/>
        <v>-2, 4</v>
      </c>
    </row>
    <row r="304" spans="1:29" ht="15" thickBot="1" x14ac:dyDescent="0.35">
      <c r="A304" s="55"/>
      <c r="B304" s="56"/>
      <c r="C304" s="68"/>
      <c r="D304" s="186"/>
      <c r="Z304" s="126" cm="1">
        <f t="array" ref="Z304">INDEX(Map!$B$2:$V$22,-Paths!AA304+11,Paths!AB304+11)</f>
        <v>0</v>
      </c>
      <c r="AA304" s="127">
        <f t="shared" si="12"/>
        <v>4</v>
      </c>
      <c r="AB304" s="127">
        <f t="shared" si="13"/>
        <v>-1</v>
      </c>
      <c r="AC304" s="52" t="str">
        <f t="shared" si="14"/>
        <v>-1, 4</v>
      </c>
    </row>
    <row r="305" spans="1:29" x14ac:dyDescent="0.3">
      <c r="A305" s="57"/>
      <c r="B305" s="58"/>
      <c r="C305" s="59"/>
      <c r="Z305" s="126" cm="1">
        <f t="array" ref="Z305">INDEX(Map!$B$2:$V$22,-Paths!AA305+11,Paths!AB305+11)</f>
        <v>0</v>
      </c>
      <c r="AA305" s="127">
        <f t="shared" si="12"/>
        <v>4</v>
      </c>
      <c r="AB305" s="127">
        <f t="shared" si="13"/>
        <v>0</v>
      </c>
      <c r="AC305" s="52" t="str">
        <f t="shared" si="14"/>
        <v>0, 4</v>
      </c>
    </row>
    <row r="306" spans="1:29" x14ac:dyDescent="0.3">
      <c r="A306" s="60"/>
      <c r="B306" s="27"/>
      <c r="C306" s="61"/>
      <c r="Z306" s="126" t="str" cm="1">
        <f t="array" ref="Z306">INDEX(Map!$B$2:$V$22,-Paths!AA306+11,Paths!AB306+11)</f>
        <v>Feature4</v>
      </c>
      <c r="AA306" s="127">
        <f t="shared" si="12"/>
        <v>4</v>
      </c>
      <c r="AB306" s="127">
        <f t="shared" si="13"/>
        <v>1</v>
      </c>
      <c r="AC306" s="52" t="str">
        <f t="shared" si="14"/>
        <v>1, 4</v>
      </c>
    </row>
    <row r="307" spans="1:29" ht="15" thickBot="1" x14ac:dyDescent="0.35">
      <c r="A307" s="62"/>
      <c r="B307" s="63"/>
      <c r="C307" s="64"/>
      <c r="Z307" s="126" cm="1">
        <f t="array" ref="Z307">INDEX(Map!$B$2:$V$22,-Paths!AA307+11,Paths!AB307+11)</f>
        <v>0</v>
      </c>
      <c r="AA307" s="127">
        <f t="shared" si="12"/>
        <v>4</v>
      </c>
      <c r="AB307" s="127">
        <f t="shared" si="13"/>
        <v>2</v>
      </c>
      <c r="AC307" s="52" t="str">
        <f t="shared" si="14"/>
        <v>2, 4</v>
      </c>
    </row>
    <row r="308" spans="1:29" x14ac:dyDescent="0.3">
      <c r="A308" s="21"/>
      <c r="B308" s="21"/>
      <c r="C308" s="22"/>
      <c r="Z308" s="126" t="str" cm="1">
        <f t="array" ref="Z308">INDEX(Map!$B$2:$V$22,-Paths!AA308+11,Paths!AB308+11)</f>
        <v>Benefit4</v>
      </c>
      <c r="AA308" s="127">
        <f t="shared" si="12"/>
        <v>4</v>
      </c>
      <c r="AB308" s="127">
        <f t="shared" si="13"/>
        <v>3</v>
      </c>
      <c r="AC308" s="52" t="str">
        <f t="shared" si="14"/>
        <v>3, 4</v>
      </c>
    </row>
    <row r="309" spans="1:29" x14ac:dyDescent="0.3">
      <c r="A309" s="27"/>
      <c r="B309" s="27"/>
      <c r="C309" s="28"/>
      <c r="Z309" s="126" cm="1">
        <f t="array" ref="Z309">INDEX(Map!$B$2:$V$22,-Paths!AA309+11,Paths!AB309+11)</f>
        <v>0</v>
      </c>
      <c r="AA309" s="127">
        <f t="shared" si="12"/>
        <v>4</v>
      </c>
      <c r="AB309" s="127">
        <f t="shared" si="13"/>
        <v>4</v>
      </c>
      <c r="AC309" s="52" t="str">
        <f t="shared" si="14"/>
        <v>4, 4</v>
      </c>
    </row>
    <row r="310" spans="1:29" x14ac:dyDescent="0.3">
      <c r="A310" s="32"/>
      <c r="B310" s="33"/>
      <c r="C310" s="33"/>
      <c r="Z310" s="126" cm="1">
        <f t="array" ref="Z310">INDEX(Map!$B$2:$V$22,-Paths!AA310+11,Paths!AB310+11)</f>
        <v>0</v>
      </c>
      <c r="AA310" s="127">
        <f t="shared" si="12"/>
        <v>4</v>
      </c>
      <c r="AB310" s="127">
        <f t="shared" si="13"/>
        <v>5</v>
      </c>
      <c r="AC310" s="52" t="str">
        <f t="shared" si="14"/>
        <v>5, 4</v>
      </c>
    </row>
    <row r="311" spans="1:29" x14ac:dyDescent="0.3">
      <c r="A311" s="19"/>
      <c r="B311" s="19"/>
      <c r="C311" s="20"/>
      <c r="Z311" s="126" cm="1">
        <f t="array" ref="Z311">INDEX(Map!$B$2:$V$22,-Paths!AA311+11,Paths!AB311+11)</f>
        <v>0</v>
      </c>
      <c r="AA311" s="127">
        <f t="shared" si="12"/>
        <v>4</v>
      </c>
      <c r="AB311" s="127">
        <f t="shared" si="13"/>
        <v>6</v>
      </c>
      <c r="AC311" s="52" t="str">
        <f t="shared" si="14"/>
        <v>6, 4</v>
      </c>
    </row>
    <row r="312" spans="1:29" x14ac:dyDescent="0.3">
      <c r="A312" s="27"/>
      <c r="B312" s="27"/>
      <c r="C312" s="28"/>
      <c r="Z312" s="126" cm="1">
        <f t="array" ref="Z312">INDEX(Map!$B$2:$V$22,-Paths!AA312+11,Paths!AB312+11)</f>
        <v>0</v>
      </c>
      <c r="AA312" s="127">
        <f t="shared" si="12"/>
        <v>4</v>
      </c>
      <c r="AB312" s="127">
        <f t="shared" si="13"/>
        <v>7</v>
      </c>
      <c r="AC312" s="52" t="str">
        <f t="shared" si="14"/>
        <v>7, 4</v>
      </c>
    </row>
    <row r="313" spans="1:29" x14ac:dyDescent="0.3">
      <c r="A313" s="32"/>
      <c r="B313" s="33"/>
      <c r="C313" s="33"/>
      <c r="Z313" s="126" cm="1">
        <f t="array" ref="Z313">INDEX(Map!$B$2:$V$22,-Paths!AA313+11,Paths!AB313+11)</f>
        <v>0</v>
      </c>
      <c r="AA313" s="127">
        <f t="shared" si="12"/>
        <v>4</v>
      </c>
      <c r="AB313" s="127">
        <f t="shared" si="13"/>
        <v>8</v>
      </c>
      <c r="AC313" s="52" t="str">
        <f t="shared" si="14"/>
        <v>8, 4</v>
      </c>
    </row>
    <row r="314" spans="1:29" x14ac:dyDescent="0.3">
      <c r="A314" s="19"/>
      <c r="B314" s="19"/>
      <c r="C314" s="20"/>
      <c r="Z314" s="126" cm="1">
        <f t="array" ref="Z314">INDEX(Map!$B$2:$V$22,-Paths!AA314+11,Paths!AB314+11)</f>
        <v>0</v>
      </c>
      <c r="AA314" s="127">
        <f t="shared" si="12"/>
        <v>4</v>
      </c>
      <c r="AB314" s="127">
        <f t="shared" si="13"/>
        <v>9</v>
      </c>
      <c r="AC314" s="52" t="str">
        <f t="shared" si="14"/>
        <v>9, 4</v>
      </c>
    </row>
    <row r="315" spans="1:29" x14ac:dyDescent="0.3">
      <c r="A315" s="27"/>
      <c r="B315" s="27"/>
      <c r="C315" s="28"/>
      <c r="Z315" s="126" cm="1">
        <f t="array" ref="Z315">INDEX(Map!$B$2:$V$22,-Paths!AA315+11,Paths!AB315+11)</f>
        <v>0</v>
      </c>
      <c r="AA315" s="127">
        <f t="shared" si="12"/>
        <v>4</v>
      </c>
      <c r="AB315" s="127">
        <f t="shared" si="13"/>
        <v>10</v>
      </c>
      <c r="AC315" s="52" t="str">
        <f t="shared" si="14"/>
        <v>10, 4</v>
      </c>
    </row>
    <row r="316" spans="1:29" x14ac:dyDescent="0.3">
      <c r="A316" s="32"/>
      <c r="B316" s="33"/>
      <c r="C316" s="33"/>
      <c r="Z316" s="126" cm="1">
        <f t="array" ref="Z316">INDEX(Map!$B$2:$V$22,-Paths!AA316+11,Paths!AB316+11)</f>
        <v>0</v>
      </c>
      <c r="AA316" s="127">
        <f t="shared" si="12"/>
        <v>5</v>
      </c>
      <c r="AB316" s="127">
        <f t="shared" si="13"/>
        <v>-10</v>
      </c>
      <c r="AC316" s="52" t="str">
        <f t="shared" si="14"/>
        <v>-10, 5</v>
      </c>
    </row>
    <row r="317" spans="1:29" x14ac:dyDescent="0.3">
      <c r="A317" s="19"/>
      <c r="B317" s="19"/>
      <c r="C317" s="20"/>
      <c r="Z317" s="126" cm="1">
        <f t="array" ref="Z317">INDEX(Map!$B$2:$V$22,-Paths!AA317+11,Paths!AB317+11)</f>
        <v>0</v>
      </c>
      <c r="AA317" s="127">
        <f t="shared" si="12"/>
        <v>5</v>
      </c>
      <c r="AB317" s="127">
        <f t="shared" si="13"/>
        <v>-9</v>
      </c>
      <c r="AC317" s="52" t="str">
        <f t="shared" si="14"/>
        <v>-9, 5</v>
      </c>
    </row>
    <row r="318" spans="1:29" x14ac:dyDescent="0.3">
      <c r="A318" s="27"/>
      <c r="B318" s="27"/>
      <c r="C318" s="28"/>
      <c r="Z318" s="126" cm="1">
        <f t="array" ref="Z318">INDEX(Map!$B$2:$V$22,-Paths!AA318+11,Paths!AB318+11)</f>
        <v>0</v>
      </c>
      <c r="AA318" s="127">
        <f t="shared" si="12"/>
        <v>5</v>
      </c>
      <c r="AB318" s="127">
        <f t="shared" si="13"/>
        <v>-8</v>
      </c>
      <c r="AC318" s="52" t="str">
        <f t="shared" si="14"/>
        <v>-8, 5</v>
      </c>
    </row>
    <row r="319" spans="1:29" x14ac:dyDescent="0.3">
      <c r="A319" s="32"/>
      <c r="B319" s="33"/>
      <c r="C319" s="33"/>
      <c r="Z319" s="126" cm="1">
        <f t="array" ref="Z319">INDEX(Map!$B$2:$V$22,-Paths!AA319+11,Paths!AB319+11)</f>
        <v>0</v>
      </c>
      <c r="AA319" s="127">
        <f t="shared" si="12"/>
        <v>5</v>
      </c>
      <c r="AB319" s="127">
        <f t="shared" si="13"/>
        <v>-7</v>
      </c>
      <c r="AC319" s="52" t="str">
        <f t="shared" si="14"/>
        <v>-7, 5</v>
      </c>
    </row>
    <row r="320" spans="1:29" x14ac:dyDescent="0.3">
      <c r="A320" s="19"/>
      <c r="B320" s="19"/>
      <c r="C320" s="20"/>
      <c r="Z320" s="126" cm="1">
        <f t="array" ref="Z320">INDEX(Map!$B$2:$V$22,-Paths!AA320+11,Paths!AB320+11)</f>
        <v>0</v>
      </c>
      <c r="AA320" s="127">
        <f t="shared" si="12"/>
        <v>5</v>
      </c>
      <c r="AB320" s="127">
        <f t="shared" si="13"/>
        <v>-6</v>
      </c>
      <c r="AC320" s="52" t="str">
        <f t="shared" si="14"/>
        <v>-6, 5</v>
      </c>
    </row>
    <row r="321" spans="1:29" x14ac:dyDescent="0.3">
      <c r="A321" s="27"/>
      <c r="B321" s="27"/>
      <c r="C321" s="28"/>
      <c r="Z321" s="126" cm="1">
        <f t="array" ref="Z321">INDEX(Map!$B$2:$V$22,-Paths!AA321+11,Paths!AB321+11)</f>
        <v>0</v>
      </c>
      <c r="AA321" s="127">
        <f t="shared" ref="AA321:AA384" si="15">QUOTIENT(ROW(AB321)-1,21)-10</f>
        <v>5</v>
      </c>
      <c r="AB321" s="127">
        <f t="shared" ref="AB321:AB384" si="16">MOD(ROW(AB321)-1,21)-10</f>
        <v>-5</v>
      </c>
      <c r="AC321" s="52" t="str">
        <f t="shared" si="14"/>
        <v>-5, 5</v>
      </c>
    </row>
    <row r="322" spans="1:29" x14ac:dyDescent="0.3">
      <c r="A322" s="32"/>
      <c r="B322" s="33"/>
      <c r="C322" s="33"/>
      <c r="Z322" s="126" cm="1">
        <f t="array" ref="Z322">INDEX(Map!$B$2:$V$22,-Paths!AA322+11,Paths!AB322+11)</f>
        <v>0</v>
      </c>
      <c r="AA322" s="127">
        <f t="shared" si="15"/>
        <v>5</v>
      </c>
      <c r="AB322" s="127">
        <f t="shared" si="16"/>
        <v>-4</v>
      </c>
      <c r="AC322" s="52" t="str">
        <f t="shared" ref="AC322:AC385" si="17">AB322&amp;", "&amp;AA322</f>
        <v>-4, 5</v>
      </c>
    </row>
    <row r="323" spans="1:29" x14ac:dyDescent="0.3">
      <c r="A323" s="19"/>
      <c r="B323" s="19"/>
      <c r="C323" s="20"/>
      <c r="Z323" s="126" cm="1">
        <f t="array" ref="Z323">INDEX(Map!$B$2:$V$22,-Paths!AA323+11,Paths!AB323+11)</f>
        <v>0</v>
      </c>
      <c r="AA323" s="127">
        <f t="shared" si="15"/>
        <v>5</v>
      </c>
      <c r="AB323" s="127">
        <f t="shared" si="16"/>
        <v>-3</v>
      </c>
      <c r="AC323" s="52" t="str">
        <f t="shared" si="17"/>
        <v>-3, 5</v>
      </c>
    </row>
    <row r="324" spans="1:29" x14ac:dyDescent="0.3">
      <c r="A324" s="27"/>
      <c r="B324" s="27"/>
      <c r="C324" s="28"/>
      <c r="Z324" s="126" cm="1">
        <f t="array" ref="Z324">INDEX(Map!$B$2:$V$22,-Paths!AA324+11,Paths!AB324+11)</f>
        <v>0</v>
      </c>
      <c r="AA324" s="127">
        <f t="shared" si="15"/>
        <v>5</v>
      </c>
      <c r="AB324" s="127">
        <f t="shared" si="16"/>
        <v>-2</v>
      </c>
      <c r="AC324" s="52" t="str">
        <f t="shared" si="17"/>
        <v>-2, 5</v>
      </c>
    </row>
    <row r="325" spans="1:29" x14ac:dyDescent="0.3">
      <c r="A325" s="32"/>
      <c r="B325" s="33"/>
      <c r="C325" s="33"/>
      <c r="Z325" s="126" cm="1">
        <f t="array" ref="Z325">INDEX(Map!$B$2:$V$22,-Paths!AA325+11,Paths!AB325+11)</f>
        <v>0</v>
      </c>
      <c r="AA325" s="127">
        <f t="shared" si="15"/>
        <v>5</v>
      </c>
      <c r="AB325" s="127">
        <f t="shared" si="16"/>
        <v>-1</v>
      </c>
      <c r="AC325" s="52" t="str">
        <f t="shared" si="17"/>
        <v>-1, 5</v>
      </c>
    </row>
    <row r="326" spans="1:29" x14ac:dyDescent="0.3">
      <c r="A326" s="19"/>
      <c r="B326" s="19"/>
      <c r="C326" s="20"/>
      <c r="Z326" s="126" cm="1">
        <f t="array" ref="Z326">INDEX(Map!$B$2:$V$22,-Paths!AA326+11,Paths!AB326+11)</f>
        <v>0</v>
      </c>
      <c r="AA326" s="127">
        <f t="shared" si="15"/>
        <v>5</v>
      </c>
      <c r="AB326" s="127">
        <f t="shared" si="16"/>
        <v>0</v>
      </c>
      <c r="AC326" s="52" t="str">
        <f t="shared" si="17"/>
        <v>0, 5</v>
      </c>
    </row>
    <row r="327" spans="1:29" x14ac:dyDescent="0.3">
      <c r="A327" s="27"/>
      <c r="B327" s="27"/>
      <c r="C327" s="28"/>
      <c r="Z327" s="126" t="str" cm="1">
        <f t="array" ref="Z327">INDEX(Map!$B$2:$V$22,-Paths!AA327+11,Paths!AB327+11)</f>
        <v>Feature5</v>
      </c>
      <c r="AA327" s="127">
        <f t="shared" si="15"/>
        <v>5</v>
      </c>
      <c r="AB327" s="127">
        <f t="shared" si="16"/>
        <v>1</v>
      </c>
      <c r="AC327" s="52" t="str">
        <f t="shared" si="17"/>
        <v>1, 5</v>
      </c>
    </row>
    <row r="328" spans="1:29" x14ac:dyDescent="0.3">
      <c r="A328" s="32"/>
      <c r="B328" s="33"/>
      <c r="C328" s="33"/>
      <c r="Z328" s="126" cm="1">
        <f t="array" ref="Z328">INDEX(Map!$B$2:$V$22,-Paths!AA328+11,Paths!AB328+11)</f>
        <v>0</v>
      </c>
      <c r="AA328" s="127">
        <f t="shared" si="15"/>
        <v>5</v>
      </c>
      <c r="AB328" s="127">
        <f t="shared" si="16"/>
        <v>2</v>
      </c>
      <c r="AC328" s="52" t="str">
        <f t="shared" si="17"/>
        <v>2, 5</v>
      </c>
    </row>
    <row r="329" spans="1:29" x14ac:dyDescent="0.3">
      <c r="A329" s="19"/>
      <c r="B329" s="19"/>
      <c r="C329" s="20"/>
      <c r="Z329" s="126" t="str" cm="1">
        <f t="array" ref="Z329">INDEX(Map!$B$2:$V$22,-Paths!AA329+11,Paths!AB329+11)</f>
        <v>Benefit5</v>
      </c>
      <c r="AA329" s="127">
        <f t="shared" si="15"/>
        <v>5</v>
      </c>
      <c r="AB329" s="127">
        <f t="shared" si="16"/>
        <v>3</v>
      </c>
      <c r="AC329" s="52" t="str">
        <f t="shared" si="17"/>
        <v>3, 5</v>
      </c>
    </row>
    <row r="330" spans="1:29" x14ac:dyDescent="0.3">
      <c r="A330" s="27"/>
      <c r="B330" s="27"/>
      <c r="C330" s="28"/>
      <c r="Z330" s="126" cm="1">
        <f t="array" ref="Z330">INDEX(Map!$B$2:$V$22,-Paths!AA330+11,Paths!AB330+11)</f>
        <v>0</v>
      </c>
      <c r="AA330" s="127">
        <f t="shared" si="15"/>
        <v>5</v>
      </c>
      <c r="AB330" s="127">
        <f t="shared" si="16"/>
        <v>4</v>
      </c>
      <c r="AC330" s="52" t="str">
        <f t="shared" si="17"/>
        <v>4, 5</v>
      </c>
    </row>
    <row r="331" spans="1:29" x14ac:dyDescent="0.3">
      <c r="A331" s="32"/>
      <c r="B331" s="33"/>
      <c r="C331" s="33"/>
      <c r="Z331" s="126" cm="1">
        <f t="array" ref="Z331">INDEX(Map!$B$2:$V$22,-Paths!AA331+11,Paths!AB331+11)</f>
        <v>0</v>
      </c>
      <c r="AA331" s="127">
        <f t="shared" si="15"/>
        <v>5</v>
      </c>
      <c r="AB331" s="127">
        <f t="shared" si="16"/>
        <v>5</v>
      </c>
      <c r="AC331" s="52" t="str">
        <f t="shared" si="17"/>
        <v>5, 5</v>
      </c>
    </row>
    <row r="332" spans="1:29" x14ac:dyDescent="0.3">
      <c r="A332" s="19"/>
      <c r="B332" s="19"/>
      <c r="C332" s="20"/>
      <c r="Z332" s="126" cm="1">
        <f t="array" ref="Z332">INDEX(Map!$B$2:$V$22,-Paths!AA332+11,Paths!AB332+11)</f>
        <v>0</v>
      </c>
      <c r="AA332" s="127">
        <f t="shared" si="15"/>
        <v>5</v>
      </c>
      <c r="AB332" s="127">
        <f t="shared" si="16"/>
        <v>6</v>
      </c>
      <c r="AC332" s="52" t="str">
        <f t="shared" si="17"/>
        <v>6, 5</v>
      </c>
    </row>
    <row r="333" spans="1:29" x14ac:dyDescent="0.3">
      <c r="A333" s="27"/>
      <c r="B333" s="27"/>
      <c r="C333" s="28"/>
      <c r="Z333" s="126" cm="1">
        <f t="array" ref="Z333">INDEX(Map!$B$2:$V$22,-Paths!AA333+11,Paths!AB333+11)</f>
        <v>0</v>
      </c>
      <c r="AA333" s="127">
        <f t="shared" si="15"/>
        <v>5</v>
      </c>
      <c r="AB333" s="127">
        <f t="shared" si="16"/>
        <v>7</v>
      </c>
      <c r="AC333" s="52" t="str">
        <f t="shared" si="17"/>
        <v>7, 5</v>
      </c>
    </row>
    <row r="334" spans="1:29" x14ac:dyDescent="0.3">
      <c r="A334" s="32"/>
      <c r="B334" s="33"/>
      <c r="C334" s="33"/>
      <c r="Z334" s="126" cm="1">
        <f t="array" ref="Z334">INDEX(Map!$B$2:$V$22,-Paths!AA334+11,Paths!AB334+11)</f>
        <v>0</v>
      </c>
      <c r="AA334" s="127">
        <f t="shared" si="15"/>
        <v>5</v>
      </c>
      <c r="AB334" s="127">
        <f t="shared" si="16"/>
        <v>8</v>
      </c>
      <c r="AC334" s="52" t="str">
        <f t="shared" si="17"/>
        <v>8, 5</v>
      </c>
    </row>
    <row r="335" spans="1:29" x14ac:dyDescent="0.3">
      <c r="A335" s="19"/>
      <c r="B335" s="19"/>
      <c r="C335" s="20"/>
      <c r="Z335" s="126" cm="1">
        <f t="array" ref="Z335">INDEX(Map!$B$2:$V$22,-Paths!AA335+11,Paths!AB335+11)</f>
        <v>0</v>
      </c>
      <c r="AA335" s="127">
        <f t="shared" si="15"/>
        <v>5</v>
      </c>
      <c r="AB335" s="127">
        <f t="shared" si="16"/>
        <v>9</v>
      </c>
      <c r="AC335" s="52" t="str">
        <f t="shared" si="17"/>
        <v>9, 5</v>
      </c>
    </row>
    <row r="336" spans="1:29" x14ac:dyDescent="0.3">
      <c r="A336" s="27"/>
      <c r="B336" s="27"/>
      <c r="C336" s="28"/>
      <c r="Z336" s="126" cm="1">
        <f t="array" ref="Z336">INDEX(Map!$B$2:$V$22,-Paths!AA336+11,Paths!AB336+11)</f>
        <v>0</v>
      </c>
      <c r="AA336" s="127">
        <f t="shared" si="15"/>
        <v>5</v>
      </c>
      <c r="AB336" s="127">
        <f t="shared" si="16"/>
        <v>10</v>
      </c>
      <c r="AC336" s="52" t="str">
        <f t="shared" si="17"/>
        <v>10, 5</v>
      </c>
    </row>
    <row r="337" spans="1:29" x14ac:dyDescent="0.3">
      <c r="A337" s="32"/>
      <c r="B337" s="33"/>
      <c r="C337" s="33"/>
      <c r="Z337" s="126" cm="1">
        <f t="array" ref="Z337">INDEX(Map!$B$2:$V$22,-Paths!AA337+11,Paths!AB337+11)</f>
        <v>0</v>
      </c>
      <c r="AA337" s="127">
        <f t="shared" si="15"/>
        <v>6</v>
      </c>
      <c r="AB337" s="127">
        <f t="shared" si="16"/>
        <v>-10</v>
      </c>
      <c r="AC337" s="52" t="str">
        <f t="shared" si="17"/>
        <v>-10, 6</v>
      </c>
    </row>
    <row r="338" spans="1:29" x14ac:dyDescent="0.3">
      <c r="A338" s="19"/>
      <c r="B338" s="19"/>
      <c r="C338" s="20"/>
      <c r="Z338" s="126" cm="1">
        <f t="array" ref="Z338">INDEX(Map!$B$2:$V$22,-Paths!AA338+11,Paths!AB338+11)</f>
        <v>0</v>
      </c>
      <c r="AA338" s="127">
        <f t="shared" si="15"/>
        <v>6</v>
      </c>
      <c r="AB338" s="127">
        <f t="shared" si="16"/>
        <v>-9</v>
      </c>
      <c r="AC338" s="52" t="str">
        <f t="shared" si="17"/>
        <v>-9, 6</v>
      </c>
    </row>
    <row r="339" spans="1:29" x14ac:dyDescent="0.3">
      <c r="A339" s="27"/>
      <c r="B339" s="27"/>
      <c r="C339" s="28"/>
      <c r="Z339" s="126" cm="1">
        <f t="array" ref="Z339">INDEX(Map!$B$2:$V$22,-Paths!AA339+11,Paths!AB339+11)</f>
        <v>0</v>
      </c>
      <c r="AA339" s="127">
        <f t="shared" si="15"/>
        <v>6</v>
      </c>
      <c r="AB339" s="127">
        <f t="shared" si="16"/>
        <v>-8</v>
      </c>
      <c r="AC339" s="52" t="str">
        <f t="shared" si="17"/>
        <v>-8, 6</v>
      </c>
    </row>
    <row r="340" spans="1:29" x14ac:dyDescent="0.3">
      <c r="A340" s="23"/>
      <c r="B340" s="24"/>
      <c r="C340" s="24"/>
      <c r="Z340" s="126" cm="1">
        <f t="array" ref="Z340">INDEX(Map!$B$2:$V$22,-Paths!AA340+11,Paths!AB340+11)</f>
        <v>0</v>
      </c>
      <c r="AA340" s="127">
        <f t="shared" si="15"/>
        <v>6</v>
      </c>
      <c r="AB340" s="127">
        <f t="shared" si="16"/>
        <v>-7</v>
      </c>
      <c r="AC340" s="52" t="str">
        <f t="shared" si="17"/>
        <v>-7, 6</v>
      </c>
    </row>
    <row r="341" spans="1:29" x14ac:dyDescent="0.3">
      <c r="A341" s="19"/>
      <c r="B341" s="20"/>
      <c r="C341" s="20"/>
      <c r="Z341" s="126" cm="1">
        <f t="array" ref="Z341">INDEX(Map!$B$2:$V$22,-Paths!AA341+11,Paths!AB341+11)</f>
        <v>0</v>
      </c>
      <c r="AA341" s="127">
        <f t="shared" si="15"/>
        <v>6</v>
      </c>
      <c r="AB341" s="127">
        <f t="shared" si="16"/>
        <v>-6</v>
      </c>
      <c r="AC341" s="52" t="str">
        <f t="shared" si="17"/>
        <v>-6, 6</v>
      </c>
    </row>
    <row r="342" spans="1:29" x14ac:dyDescent="0.3">
      <c r="A342" s="21"/>
      <c r="B342" s="25"/>
      <c r="C342" s="21"/>
      <c r="Z342" s="126" cm="1">
        <f t="array" ref="Z342">INDEX(Map!$B$2:$V$22,-Paths!AA342+11,Paths!AB342+11)</f>
        <v>0</v>
      </c>
      <c r="AA342" s="127">
        <f t="shared" si="15"/>
        <v>6</v>
      </c>
      <c r="AB342" s="127">
        <f t="shared" si="16"/>
        <v>-5</v>
      </c>
      <c r="AC342" s="52" t="str">
        <f t="shared" si="17"/>
        <v>-5, 6</v>
      </c>
    </row>
    <row r="343" spans="1:29" x14ac:dyDescent="0.3">
      <c r="A343" s="21"/>
      <c r="B343" s="22"/>
      <c r="C343" s="26"/>
      <c r="Z343" s="126" cm="1">
        <f t="array" ref="Z343">INDEX(Map!$B$2:$V$22,-Paths!AA343+11,Paths!AB343+11)</f>
        <v>0</v>
      </c>
      <c r="AA343" s="127">
        <f t="shared" si="15"/>
        <v>6</v>
      </c>
      <c r="AB343" s="127">
        <f t="shared" si="16"/>
        <v>-4</v>
      </c>
      <c r="AC343" s="52" t="str">
        <f t="shared" si="17"/>
        <v>-4, 6</v>
      </c>
    </row>
    <row r="344" spans="1:29" x14ac:dyDescent="0.3">
      <c r="A344" s="27"/>
      <c r="B344" s="28"/>
      <c r="C344" s="22"/>
      <c r="Z344" s="126" cm="1">
        <f t="array" ref="Z344">INDEX(Map!$B$2:$V$22,-Paths!AA344+11,Paths!AB344+11)</f>
        <v>0</v>
      </c>
      <c r="AA344" s="127">
        <f t="shared" si="15"/>
        <v>6</v>
      </c>
      <c r="AB344" s="127">
        <f t="shared" si="16"/>
        <v>-3</v>
      </c>
      <c r="AC344" s="52" t="str">
        <f t="shared" si="17"/>
        <v>-3, 6</v>
      </c>
    </row>
    <row r="345" spans="1:29" x14ac:dyDescent="0.3">
      <c r="A345" s="29"/>
      <c r="B345" s="30"/>
      <c r="C345" s="30"/>
      <c r="Z345" s="126" cm="1">
        <f t="array" ref="Z345">INDEX(Map!$B$2:$V$22,-Paths!AA345+11,Paths!AB345+11)</f>
        <v>0</v>
      </c>
      <c r="AA345" s="127">
        <f t="shared" si="15"/>
        <v>6</v>
      </c>
      <c r="AB345" s="127">
        <f t="shared" si="16"/>
        <v>-2</v>
      </c>
      <c r="AC345" s="52" t="str">
        <f t="shared" si="17"/>
        <v>-2, 6</v>
      </c>
    </row>
    <row r="346" spans="1:29" x14ac:dyDescent="0.3">
      <c r="Z346" s="126" cm="1">
        <f t="array" ref="Z346">INDEX(Map!$B$2:$V$22,-Paths!AA346+11,Paths!AB346+11)</f>
        <v>0</v>
      </c>
      <c r="AA346" s="127">
        <f t="shared" si="15"/>
        <v>6</v>
      </c>
      <c r="AB346" s="127">
        <f t="shared" si="16"/>
        <v>-1</v>
      </c>
      <c r="AC346" s="52" t="str">
        <f t="shared" si="17"/>
        <v>-1, 6</v>
      </c>
    </row>
    <row r="347" spans="1:29" x14ac:dyDescent="0.3">
      <c r="Z347" s="126" cm="1">
        <f t="array" ref="Z347">INDEX(Map!$B$2:$V$22,-Paths!AA347+11,Paths!AB347+11)</f>
        <v>0</v>
      </c>
      <c r="AA347" s="127">
        <f t="shared" si="15"/>
        <v>6</v>
      </c>
      <c r="AB347" s="127">
        <f t="shared" si="16"/>
        <v>0</v>
      </c>
      <c r="AC347" s="52" t="str">
        <f t="shared" si="17"/>
        <v>0, 6</v>
      </c>
    </row>
    <row r="348" spans="1:29" x14ac:dyDescent="0.3">
      <c r="Z348" s="126" t="str" cm="1">
        <f t="array" ref="Z348">INDEX(Map!$B$2:$V$22,-Paths!AA348+11,Paths!AB348+11)</f>
        <v>Feature6</v>
      </c>
      <c r="AA348" s="127">
        <f t="shared" si="15"/>
        <v>6</v>
      </c>
      <c r="AB348" s="127">
        <f t="shared" si="16"/>
        <v>1</v>
      </c>
      <c r="AC348" s="52" t="str">
        <f t="shared" si="17"/>
        <v>1, 6</v>
      </c>
    </row>
    <row r="349" spans="1:29" x14ac:dyDescent="0.3">
      <c r="Z349" s="126" cm="1">
        <f t="array" ref="Z349">INDEX(Map!$B$2:$V$22,-Paths!AA349+11,Paths!AB349+11)</f>
        <v>0</v>
      </c>
      <c r="AA349" s="127">
        <f t="shared" si="15"/>
        <v>6</v>
      </c>
      <c r="AB349" s="127">
        <f t="shared" si="16"/>
        <v>2</v>
      </c>
      <c r="AC349" s="52" t="str">
        <f t="shared" si="17"/>
        <v>2, 6</v>
      </c>
    </row>
    <row r="350" spans="1:29" x14ac:dyDescent="0.3">
      <c r="Z350" s="126" t="str" cm="1">
        <f t="array" ref="Z350">INDEX(Map!$B$2:$V$22,-Paths!AA350+11,Paths!AB350+11)</f>
        <v>Benefit6</v>
      </c>
      <c r="AA350" s="127">
        <f t="shared" si="15"/>
        <v>6</v>
      </c>
      <c r="AB350" s="127">
        <f t="shared" si="16"/>
        <v>3</v>
      </c>
      <c r="AC350" s="52" t="str">
        <f t="shared" si="17"/>
        <v>3, 6</v>
      </c>
    </row>
    <row r="351" spans="1:29" x14ac:dyDescent="0.3">
      <c r="Z351" s="126" cm="1">
        <f t="array" ref="Z351">INDEX(Map!$B$2:$V$22,-Paths!AA351+11,Paths!AB351+11)</f>
        <v>0</v>
      </c>
      <c r="AA351" s="127">
        <f t="shared" si="15"/>
        <v>6</v>
      </c>
      <c r="AB351" s="127">
        <f t="shared" si="16"/>
        <v>4</v>
      </c>
      <c r="AC351" s="52" t="str">
        <f t="shared" si="17"/>
        <v>4, 6</v>
      </c>
    </row>
    <row r="352" spans="1:29" x14ac:dyDescent="0.3">
      <c r="Z352" s="126" cm="1">
        <f t="array" ref="Z352">INDEX(Map!$B$2:$V$22,-Paths!AA352+11,Paths!AB352+11)</f>
        <v>0</v>
      </c>
      <c r="AA352" s="127">
        <f t="shared" si="15"/>
        <v>6</v>
      </c>
      <c r="AB352" s="127">
        <f t="shared" si="16"/>
        <v>5</v>
      </c>
      <c r="AC352" s="52" t="str">
        <f t="shared" si="17"/>
        <v>5, 6</v>
      </c>
    </row>
    <row r="353" spans="26:29" x14ac:dyDescent="0.3">
      <c r="Z353" s="126" cm="1">
        <f t="array" ref="Z353">INDEX(Map!$B$2:$V$22,-Paths!AA353+11,Paths!AB353+11)</f>
        <v>0</v>
      </c>
      <c r="AA353" s="127">
        <f t="shared" si="15"/>
        <v>6</v>
      </c>
      <c r="AB353" s="127">
        <f t="shared" si="16"/>
        <v>6</v>
      </c>
      <c r="AC353" s="52" t="str">
        <f t="shared" si="17"/>
        <v>6, 6</v>
      </c>
    </row>
    <row r="354" spans="26:29" x14ac:dyDescent="0.3">
      <c r="Z354" s="126" cm="1">
        <f t="array" ref="Z354">INDEX(Map!$B$2:$V$22,-Paths!AA354+11,Paths!AB354+11)</f>
        <v>0</v>
      </c>
      <c r="AA354" s="127">
        <f t="shared" si="15"/>
        <v>6</v>
      </c>
      <c r="AB354" s="127">
        <f t="shared" si="16"/>
        <v>7</v>
      </c>
      <c r="AC354" s="52" t="str">
        <f t="shared" si="17"/>
        <v>7, 6</v>
      </c>
    </row>
    <row r="355" spans="26:29" x14ac:dyDescent="0.3">
      <c r="Z355" s="126" cm="1">
        <f t="array" ref="Z355">INDEX(Map!$B$2:$V$22,-Paths!AA355+11,Paths!AB355+11)</f>
        <v>0</v>
      </c>
      <c r="AA355" s="127">
        <f t="shared" si="15"/>
        <v>6</v>
      </c>
      <c r="AB355" s="127">
        <f t="shared" si="16"/>
        <v>8</v>
      </c>
      <c r="AC355" s="52" t="str">
        <f t="shared" si="17"/>
        <v>8, 6</v>
      </c>
    </row>
    <row r="356" spans="26:29" x14ac:dyDescent="0.3">
      <c r="Z356" s="126" cm="1">
        <f t="array" ref="Z356">INDEX(Map!$B$2:$V$22,-Paths!AA356+11,Paths!AB356+11)</f>
        <v>0</v>
      </c>
      <c r="AA356" s="127">
        <f t="shared" si="15"/>
        <v>6</v>
      </c>
      <c r="AB356" s="127">
        <f t="shared" si="16"/>
        <v>9</v>
      </c>
      <c r="AC356" s="52" t="str">
        <f t="shared" si="17"/>
        <v>9, 6</v>
      </c>
    </row>
    <row r="357" spans="26:29" x14ac:dyDescent="0.3">
      <c r="Z357" s="126" cm="1">
        <f t="array" ref="Z357">INDEX(Map!$B$2:$V$22,-Paths!AA357+11,Paths!AB357+11)</f>
        <v>0</v>
      </c>
      <c r="AA357" s="127">
        <f t="shared" si="15"/>
        <v>6</v>
      </c>
      <c r="AB357" s="127">
        <f t="shared" si="16"/>
        <v>10</v>
      </c>
      <c r="AC357" s="52" t="str">
        <f t="shared" si="17"/>
        <v>10, 6</v>
      </c>
    </row>
    <row r="358" spans="26:29" x14ac:dyDescent="0.3">
      <c r="Z358" s="126" cm="1">
        <f t="array" ref="Z358">INDEX(Map!$B$2:$V$22,-Paths!AA358+11,Paths!AB358+11)</f>
        <v>0</v>
      </c>
      <c r="AA358" s="127">
        <f t="shared" si="15"/>
        <v>7</v>
      </c>
      <c r="AB358" s="127">
        <f t="shared" si="16"/>
        <v>-10</v>
      </c>
      <c r="AC358" s="52" t="str">
        <f t="shared" si="17"/>
        <v>-10, 7</v>
      </c>
    </row>
    <row r="359" spans="26:29" x14ac:dyDescent="0.3">
      <c r="Z359" s="126" cm="1">
        <f t="array" ref="Z359">INDEX(Map!$B$2:$V$22,-Paths!AA359+11,Paths!AB359+11)</f>
        <v>0</v>
      </c>
      <c r="AA359" s="127">
        <f t="shared" si="15"/>
        <v>7</v>
      </c>
      <c r="AB359" s="127">
        <f t="shared" si="16"/>
        <v>-9</v>
      </c>
      <c r="AC359" s="52" t="str">
        <f t="shared" si="17"/>
        <v>-9, 7</v>
      </c>
    </row>
    <row r="360" spans="26:29" x14ac:dyDescent="0.3">
      <c r="Z360" s="126" cm="1">
        <f t="array" ref="Z360">INDEX(Map!$B$2:$V$22,-Paths!AA360+11,Paths!AB360+11)</f>
        <v>0</v>
      </c>
      <c r="AA360" s="127">
        <f t="shared" si="15"/>
        <v>7</v>
      </c>
      <c r="AB360" s="127">
        <f t="shared" si="16"/>
        <v>-8</v>
      </c>
      <c r="AC360" s="52" t="str">
        <f t="shared" si="17"/>
        <v>-8, 7</v>
      </c>
    </row>
    <row r="361" spans="26:29" x14ac:dyDescent="0.3">
      <c r="Z361" s="126" cm="1">
        <f t="array" ref="Z361">INDEX(Map!$B$2:$V$22,-Paths!AA361+11,Paths!AB361+11)</f>
        <v>0</v>
      </c>
      <c r="AA361" s="127">
        <f t="shared" si="15"/>
        <v>7</v>
      </c>
      <c r="AB361" s="127">
        <f t="shared" si="16"/>
        <v>-7</v>
      </c>
      <c r="AC361" s="52" t="str">
        <f t="shared" si="17"/>
        <v>-7, 7</v>
      </c>
    </row>
    <row r="362" spans="26:29" x14ac:dyDescent="0.3">
      <c r="Z362" s="126" cm="1">
        <f t="array" ref="Z362">INDEX(Map!$B$2:$V$22,-Paths!AA362+11,Paths!AB362+11)</f>
        <v>0</v>
      </c>
      <c r="AA362" s="127">
        <f t="shared" si="15"/>
        <v>7</v>
      </c>
      <c r="AB362" s="127">
        <f t="shared" si="16"/>
        <v>-6</v>
      </c>
      <c r="AC362" s="52" t="str">
        <f t="shared" si="17"/>
        <v>-6, 7</v>
      </c>
    </row>
    <row r="363" spans="26:29" x14ac:dyDescent="0.3">
      <c r="Z363" s="126" cm="1">
        <f t="array" ref="Z363">INDEX(Map!$B$2:$V$22,-Paths!AA363+11,Paths!AB363+11)</f>
        <v>0</v>
      </c>
      <c r="AA363" s="127">
        <f t="shared" si="15"/>
        <v>7</v>
      </c>
      <c r="AB363" s="127">
        <f t="shared" si="16"/>
        <v>-5</v>
      </c>
      <c r="AC363" s="52" t="str">
        <f t="shared" si="17"/>
        <v>-5, 7</v>
      </c>
    </row>
    <row r="364" spans="26:29" x14ac:dyDescent="0.3">
      <c r="Z364" s="126" cm="1">
        <f t="array" ref="Z364">INDEX(Map!$B$2:$V$22,-Paths!AA364+11,Paths!AB364+11)</f>
        <v>0</v>
      </c>
      <c r="AA364" s="127">
        <f t="shared" si="15"/>
        <v>7</v>
      </c>
      <c r="AB364" s="127">
        <f t="shared" si="16"/>
        <v>-4</v>
      </c>
      <c r="AC364" s="52" t="str">
        <f t="shared" si="17"/>
        <v>-4, 7</v>
      </c>
    </row>
    <row r="365" spans="26:29" x14ac:dyDescent="0.3">
      <c r="Z365" s="126" cm="1">
        <f t="array" ref="Z365">INDEX(Map!$B$2:$V$22,-Paths!AA365+11,Paths!AB365+11)</f>
        <v>0</v>
      </c>
      <c r="AA365" s="127">
        <f t="shared" si="15"/>
        <v>7</v>
      </c>
      <c r="AB365" s="127">
        <f t="shared" si="16"/>
        <v>-3</v>
      </c>
      <c r="AC365" s="52" t="str">
        <f t="shared" si="17"/>
        <v>-3, 7</v>
      </c>
    </row>
    <row r="366" spans="26:29" x14ac:dyDescent="0.3">
      <c r="Z366" s="126" cm="1">
        <f t="array" ref="Z366">INDEX(Map!$B$2:$V$22,-Paths!AA366+11,Paths!AB366+11)</f>
        <v>0</v>
      </c>
      <c r="AA366" s="127">
        <f t="shared" si="15"/>
        <v>7</v>
      </c>
      <c r="AB366" s="127">
        <f t="shared" si="16"/>
        <v>-2</v>
      </c>
      <c r="AC366" s="52" t="str">
        <f t="shared" si="17"/>
        <v>-2, 7</v>
      </c>
    </row>
    <row r="367" spans="26:29" x14ac:dyDescent="0.3">
      <c r="Z367" s="126" cm="1">
        <f t="array" ref="Z367">INDEX(Map!$B$2:$V$22,-Paths!AA367+11,Paths!AB367+11)</f>
        <v>0</v>
      </c>
      <c r="AA367" s="127">
        <f t="shared" si="15"/>
        <v>7</v>
      </c>
      <c r="AB367" s="127">
        <f t="shared" si="16"/>
        <v>-1</v>
      </c>
      <c r="AC367" s="52" t="str">
        <f t="shared" si="17"/>
        <v>-1, 7</v>
      </c>
    </row>
    <row r="368" spans="26:29" x14ac:dyDescent="0.3">
      <c r="Z368" s="126" cm="1">
        <f t="array" ref="Z368">INDEX(Map!$B$2:$V$22,-Paths!AA368+11,Paths!AB368+11)</f>
        <v>0</v>
      </c>
      <c r="AA368" s="127">
        <f t="shared" si="15"/>
        <v>7</v>
      </c>
      <c r="AB368" s="127">
        <f t="shared" si="16"/>
        <v>0</v>
      </c>
      <c r="AC368" s="52" t="str">
        <f t="shared" si="17"/>
        <v>0, 7</v>
      </c>
    </row>
    <row r="369" spans="26:29" x14ac:dyDescent="0.3">
      <c r="Z369" s="126" cm="1">
        <f t="array" ref="Z369">INDEX(Map!$B$2:$V$22,-Paths!AA369+11,Paths!AB369+11)</f>
        <v>0</v>
      </c>
      <c r="AA369" s="127">
        <f t="shared" si="15"/>
        <v>7</v>
      </c>
      <c r="AB369" s="127">
        <f t="shared" si="16"/>
        <v>1</v>
      </c>
      <c r="AC369" s="52" t="str">
        <f t="shared" si="17"/>
        <v>1, 7</v>
      </c>
    </row>
    <row r="370" spans="26:29" x14ac:dyDescent="0.3">
      <c r="Z370" s="126" cm="1">
        <f t="array" ref="Z370">INDEX(Map!$B$2:$V$22,-Paths!AA370+11,Paths!AB370+11)</f>
        <v>0</v>
      </c>
      <c r="AA370" s="127">
        <f t="shared" si="15"/>
        <v>7</v>
      </c>
      <c r="AB370" s="127">
        <f t="shared" si="16"/>
        <v>2</v>
      </c>
      <c r="AC370" s="52" t="str">
        <f t="shared" si="17"/>
        <v>2, 7</v>
      </c>
    </row>
    <row r="371" spans="26:29" x14ac:dyDescent="0.3">
      <c r="Z371" s="126" cm="1">
        <f t="array" ref="Z371">INDEX(Map!$B$2:$V$22,-Paths!AA371+11,Paths!AB371+11)</f>
        <v>0</v>
      </c>
      <c r="AA371" s="127">
        <f t="shared" si="15"/>
        <v>7</v>
      </c>
      <c r="AB371" s="127">
        <f t="shared" si="16"/>
        <v>3</v>
      </c>
      <c r="AC371" s="52" t="str">
        <f t="shared" si="17"/>
        <v>3, 7</v>
      </c>
    </row>
    <row r="372" spans="26:29" x14ac:dyDescent="0.3">
      <c r="Z372" s="126" cm="1">
        <f t="array" ref="Z372">INDEX(Map!$B$2:$V$22,-Paths!AA372+11,Paths!AB372+11)</f>
        <v>0</v>
      </c>
      <c r="AA372" s="127">
        <f t="shared" si="15"/>
        <v>7</v>
      </c>
      <c r="AB372" s="127">
        <f t="shared" si="16"/>
        <v>4</v>
      </c>
      <c r="AC372" s="52" t="str">
        <f t="shared" si="17"/>
        <v>4, 7</v>
      </c>
    </row>
    <row r="373" spans="26:29" x14ac:dyDescent="0.3">
      <c r="Z373" s="126" cm="1">
        <f t="array" ref="Z373">INDEX(Map!$B$2:$V$22,-Paths!AA373+11,Paths!AB373+11)</f>
        <v>0</v>
      </c>
      <c r="AA373" s="127">
        <f t="shared" si="15"/>
        <v>7</v>
      </c>
      <c r="AB373" s="127">
        <f t="shared" si="16"/>
        <v>5</v>
      </c>
      <c r="AC373" s="52" t="str">
        <f t="shared" si="17"/>
        <v>5, 7</v>
      </c>
    </row>
    <row r="374" spans="26:29" x14ac:dyDescent="0.3">
      <c r="Z374" s="126" cm="1">
        <f t="array" ref="Z374">INDEX(Map!$B$2:$V$22,-Paths!AA374+11,Paths!AB374+11)</f>
        <v>0</v>
      </c>
      <c r="AA374" s="127">
        <f t="shared" si="15"/>
        <v>7</v>
      </c>
      <c r="AB374" s="127">
        <f t="shared" si="16"/>
        <v>6</v>
      </c>
      <c r="AC374" s="52" t="str">
        <f t="shared" si="17"/>
        <v>6, 7</v>
      </c>
    </row>
    <row r="375" spans="26:29" x14ac:dyDescent="0.3">
      <c r="Z375" s="126" cm="1">
        <f t="array" ref="Z375">INDEX(Map!$B$2:$V$22,-Paths!AA375+11,Paths!AB375+11)</f>
        <v>0</v>
      </c>
      <c r="AA375" s="127">
        <f t="shared" si="15"/>
        <v>7</v>
      </c>
      <c r="AB375" s="127">
        <f t="shared" si="16"/>
        <v>7</v>
      </c>
      <c r="AC375" s="52" t="str">
        <f t="shared" si="17"/>
        <v>7, 7</v>
      </c>
    </row>
    <row r="376" spans="26:29" x14ac:dyDescent="0.3">
      <c r="Z376" s="126" cm="1">
        <f t="array" ref="Z376">INDEX(Map!$B$2:$V$22,-Paths!AA376+11,Paths!AB376+11)</f>
        <v>0</v>
      </c>
      <c r="AA376" s="127">
        <f t="shared" si="15"/>
        <v>7</v>
      </c>
      <c r="AB376" s="127">
        <f t="shared" si="16"/>
        <v>8</v>
      </c>
      <c r="AC376" s="52" t="str">
        <f t="shared" si="17"/>
        <v>8, 7</v>
      </c>
    </row>
    <row r="377" spans="26:29" x14ac:dyDescent="0.3">
      <c r="Z377" s="126" cm="1">
        <f t="array" ref="Z377">INDEX(Map!$B$2:$V$22,-Paths!AA377+11,Paths!AB377+11)</f>
        <v>0</v>
      </c>
      <c r="AA377" s="127">
        <f t="shared" si="15"/>
        <v>7</v>
      </c>
      <c r="AB377" s="127">
        <f t="shared" si="16"/>
        <v>9</v>
      </c>
      <c r="AC377" s="52" t="str">
        <f t="shared" si="17"/>
        <v>9, 7</v>
      </c>
    </row>
    <row r="378" spans="26:29" x14ac:dyDescent="0.3">
      <c r="Z378" s="126" cm="1">
        <f t="array" ref="Z378">INDEX(Map!$B$2:$V$22,-Paths!AA378+11,Paths!AB378+11)</f>
        <v>0</v>
      </c>
      <c r="AA378" s="127">
        <f t="shared" si="15"/>
        <v>7</v>
      </c>
      <c r="AB378" s="127">
        <f t="shared" si="16"/>
        <v>10</v>
      </c>
      <c r="AC378" s="52" t="str">
        <f t="shared" si="17"/>
        <v>10, 7</v>
      </c>
    </row>
    <row r="379" spans="26:29" x14ac:dyDescent="0.3">
      <c r="Z379" s="126" cm="1">
        <f t="array" ref="Z379">INDEX(Map!$B$2:$V$22,-Paths!AA379+11,Paths!AB379+11)</f>
        <v>0</v>
      </c>
      <c r="AA379" s="127">
        <f t="shared" si="15"/>
        <v>8</v>
      </c>
      <c r="AB379" s="127">
        <f t="shared" si="16"/>
        <v>-10</v>
      </c>
      <c r="AC379" s="52" t="str">
        <f t="shared" si="17"/>
        <v>-10, 8</v>
      </c>
    </row>
    <row r="380" spans="26:29" x14ac:dyDescent="0.3">
      <c r="Z380" s="126" cm="1">
        <f t="array" ref="Z380">INDEX(Map!$B$2:$V$22,-Paths!AA380+11,Paths!AB380+11)</f>
        <v>0</v>
      </c>
      <c r="AA380" s="127">
        <f t="shared" si="15"/>
        <v>8</v>
      </c>
      <c r="AB380" s="127">
        <f t="shared" si="16"/>
        <v>-9</v>
      </c>
      <c r="AC380" s="52" t="str">
        <f t="shared" si="17"/>
        <v>-9, 8</v>
      </c>
    </row>
    <row r="381" spans="26:29" x14ac:dyDescent="0.3">
      <c r="Z381" s="126" cm="1">
        <f t="array" ref="Z381">INDEX(Map!$B$2:$V$22,-Paths!AA381+11,Paths!AB381+11)</f>
        <v>0</v>
      </c>
      <c r="AA381" s="127">
        <f t="shared" si="15"/>
        <v>8</v>
      </c>
      <c r="AB381" s="127">
        <f t="shared" si="16"/>
        <v>-8</v>
      </c>
      <c r="AC381" s="52" t="str">
        <f t="shared" si="17"/>
        <v>-8, 8</v>
      </c>
    </row>
    <row r="382" spans="26:29" x14ac:dyDescent="0.3">
      <c r="Z382" s="126" cm="1">
        <f t="array" ref="Z382">INDEX(Map!$B$2:$V$22,-Paths!AA382+11,Paths!AB382+11)</f>
        <v>0</v>
      </c>
      <c r="AA382" s="127">
        <f t="shared" si="15"/>
        <v>8</v>
      </c>
      <c r="AB382" s="127">
        <f t="shared" si="16"/>
        <v>-7</v>
      </c>
      <c r="AC382" s="52" t="str">
        <f t="shared" si="17"/>
        <v>-7, 8</v>
      </c>
    </row>
    <row r="383" spans="26:29" x14ac:dyDescent="0.3">
      <c r="Z383" s="126" cm="1">
        <f t="array" ref="Z383">INDEX(Map!$B$2:$V$22,-Paths!AA383+11,Paths!AB383+11)</f>
        <v>0</v>
      </c>
      <c r="AA383" s="127">
        <f t="shared" si="15"/>
        <v>8</v>
      </c>
      <c r="AB383" s="127">
        <f t="shared" si="16"/>
        <v>-6</v>
      </c>
      <c r="AC383" s="52" t="str">
        <f t="shared" si="17"/>
        <v>-6, 8</v>
      </c>
    </row>
    <row r="384" spans="26:29" x14ac:dyDescent="0.3">
      <c r="Z384" s="126" cm="1">
        <f t="array" ref="Z384">INDEX(Map!$B$2:$V$22,-Paths!AA384+11,Paths!AB384+11)</f>
        <v>0</v>
      </c>
      <c r="AA384" s="127">
        <f t="shared" si="15"/>
        <v>8</v>
      </c>
      <c r="AB384" s="127">
        <f t="shared" si="16"/>
        <v>-5</v>
      </c>
      <c r="AC384" s="52" t="str">
        <f t="shared" si="17"/>
        <v>-5, 8</v>
      </c>
    </row>
    <row r="385" spans="26:29" x14ac:dyDescent="0.3">
      <c r="Z385" s="126" cm="1">
        <f t="array" ref="Z385">INDEX(Map!$B$2:$V$22,-Paths!AA385+11,Paths!AB385+11)</f>
        <v>0</v>
      </c>
      <c r="AA385" s="127">
        <f t="shared" ref="AA385:AA441" si="18">QUOTIENT(ROW(AB385)-1,21)-10</f>
        <v>8</v>
      </c>
      <c r="AB385" s="127">
        <f t="shared" ref="AB385:AB441" si="19">MOD(ROW(AB385)-1,21)-10</f>
        <v>-4</v>
      </c>
      <c r="AC385" s="52" t="str">
        <f t="shared" si="17"/>
        <v>-4, 8</v>
      </c>
    </row>
    <row r="386" spans="26:29" x14ac:dyDescent="0.3">
      <c r="Z386" s="126" cm="1">
        <f t="array" ref="Z386">INDEX(Map!$B$2:$V$22,-Paths!AA386+11,Paths!AB386+11)</f>
        <v>0</v>
      </c>
      <c r="AA386" s="127">
        <f t="shared" si="18"/>
        <v>8</v>
      </c>
      <c r="AB386" s="127">
        <f t="shared" si="19"/>
        <v>-3</v>
      </c>
      <c r="AC386" s="52" t="str">
        <f t="shared" ref="AC386:AC441" si="20">AB386&amp;", "&amp;AA386</f>
        <v>-3, 8</v>
      </c>
    </row>
    <row r="387" spans="26:29" x14ac:dyDescent="0.3">
      <c r="Z387" s="126" cm="1">
        <f t="array" ref="Z387">INDEX(Map!$B$2:$V$22,-Paths!AA387+11,Paths!AB387+11)</f>
        <v>0</v>
      </c>
      <c r="AA387" s="127">
        <f t="shared" si="18"/>
        <v>8</v>
      </c>
      <c r="AB387" s="127">
        <f t="shared" si="19"/>
        <v>-2</v>
      </c>
      <c r="AC387" s="52" t="str">
        <f t="shared" si="20"/>
        <v>-2, 8</v>
      </c>
    </row>
    <row r="388" spans="26:29" x14ac:dyDescent="0.3">
      <c r="Z388" s="126" cm="1">
        <f t="array" ref="Z388">INDEX(Map!$B$2:$V$22,-Paths!AA388+11,Paths!AB388+11)</f>
        <v>0</v>
      </c>
      <c r="AA388" s="127">
        <f t="shared" si="18"/>
        <v>8</v>
      </c>
      <c r="AB388" s="127">
        <f t="shared" si="19"/>
        <v>-1</v>
      </c>
      <c r="AC388" s="52" t="str">
        <f t="shared" si="20"/>
        <v>-1, 8</v>
      </c>
    </row>
    <row r="389" spans="26:29" x14ac:dyDescent="0.3">
      <c r="Z389" s="126" cm="1">
        <f t="array" ref="Z389">INDEX(Map!$B$2:$V$22,-Paths!AA389+11,Paths!AB389+11)</f>
        <v>0</v>
      </c>
      <c r="AA389" s="127">
        <f t="shared" si="18"/>
        <v>8</v>
      </c>
      <c r="AB389" s="127">
        <f t="shared" si="19"/>
        <v>0</v>
      </c>
      <c r="AC389" s="52" t="str">
        <f t="shared" si="20"/>
        <v>0, 8</v>
      </c>
    </row>
    <row r="390" spans="26:29" x14ac:dyDescent="0.3">
      <c r="Z390" s="126" cm="1">
        <f t="array" ref="Z390">INDEX(Map!$B$2:$V$22,-Paths!AA390+11,Paths!AB390+11)</f>
        <v>0</v>
      </c>
      <c r="AA390" s="127">
        <f t="shared" si="18"/>
        <v>8</v>
      </c>
      <c r="AB390" s="127">
        <f t="shared" si="19"/>
        <v>1</v>
      </c>
      <c r="AC390" s="52" t="str">
        <f t="shared" si="20"/>
        <v>1, 8</v>
      </c>
    </row>
    <row r="391" spans="26:29" x14ac:dyDescent="0.3">
      <c r="Z391" s="126" t="str" cm="1">
        <f t="array" ref="Z391">INDEX(Map!$B$2:$V$22,-Paths!AA391+11,Paths!AB391+11)</f>
        <v>Teleport1</v>
      </c>
      <c r="AA391" s="127">
        <f t="shared" si="18"/>
        <v>8</v>
      </c>
      <c r="AB391" s="127">
        <f t="shared" si="19"/>
        <v>2</v>
      </c>
      <c r="AC391" s="52" t="str">
        <f t="shared" si="20"/>
        <v>2, 8</v>
      </c>
    </row>
    <row r="392" spans="26:29" x14ac:dyDescent="0.3">
      <c r="Z392" s="126" cm="1">
        <f t="array" ref="Z392">INDEX(Map!$B$2:$V$22,-Paths!AA392+11,Paths!AB392+11)</f>
        <v>0</v>
      </c>
      <c r="AA392" s="127">
        <f t="shared" si="18"/>
        <v>8</v>
      </c>
      <c r="AB392" s="127">
        <f t="shared" si="19"/>
        <v>3</v>
      </c>
      <c r="AC392" s="52" t="str">
        <f t="shared" si="20"/>
        <v>3, 8</v>
      </c>
    </row>
    <row r="393" spans="26:29" x14ac:dyDescent="0.3">
      <c r="Z393" s="126" cm="1">
        <f t="array" ref="Z393">INDEX(Map!$B$2:$V$22,-Paths!AA393+11,Paths!AB393+11)</f>
        <v>0</v>
      </c>
      <c r="AA393" s="127">
        <f t="shared" si="18"/>
        <v>8</v>
      </c>
      <c r="AB393" s="127">
        <f t="shared" si="19"/>
        <v>4</v>
      </c>
      <c r="AC393" s="52" t="str">
        <f t="shared" si="20"/>
        <v>4, 8</v>
      </c>
    </row>
    <row r="394" spans="26:29" x14ac:dyDescent="0.3">
      <c r="Z394" s="126" cm="1">
        <f t="array" ref="Z394">INDEX(Map!$B$2:$V$22,-Paths!AA394+11,Paths!AB394+11)</f>
        <v>0</v>
      </c>
      <c r="AA394" s="127">
        <f t="shared" si="18"/>
        <v>8</v>
      </c>
      <c r="AB394" s="127">
        <f t="shared" si="19"/>
        <v>5</v>
      </c>
      <c r="AC394" s="52" t="str">
        <f t="shared" si="20"/>
        <v>5, 8</v>
      </c>
    </row>
    <row r="395" spans="26:29" x14ac:dyDescent="0.3">
      <c r="Z395" s="126" cm="1">
        <f t="array" ref="Z395">INDEX(Map!$B$2:$V$22,-Paths!AA395+11,Paths!AB395+11)</f>
        <v>0</v>
      </c>
      <c r="AA395" s="127">
        <f t="shared" si="18"/>
        <v>8</v>
      </c>
      <c r="AB395" s="127">
        <f t="shared" si="19"/>
        <v>6</v>
      </c>
      <c r="AC395" s="52" t="str">
        <f t="shared" si="20"/>
        <v>6, 8</v>
      </c>
    </row>
    <row r="396" spans="26:29" x14ac:dyDescent="0.3">
      <c r="Z396" s="126" cm="1">
        <f t="array" ref="Z396">INDEX(Map!$B$2:$V$22,-Paths!AA396+11,Paths!AB396+11)</f>
        <v>0</v>
      </c>
      <c r="AA396" s="127">
        <f t="shared" si="18"/>
        <v>8</v>
      </c>
      <c r="AB396" s="127">
        <f t="shared" si="19"/>
        <v>7</v>
      </c>
      <c r="AC396" s="52" t="str">
        <f t="shared" si="20"/>
        <v>7, 8</v>
      </c>
    </row>
    <row r="397" spans="26:29" x14ac:dyDescent="0.3">
      <c r="Z397" s="126" cm="1">
        <f t="array" ref="Z397">INDEX(Map!$B$2:$V$22,-Paths!AA397+11,Paths!AB397+11)</f>
        <v>0</v>
      </c>
      <c r="AA397" s="127">
        <f t="shared" si="18"/>
        <v>8</v>
      </c>
      <c r="AB397" s="127">
        <f t="shared" si="19"/>
        <v>8</v>
      </c>
      <c r="AC397" s="52" t="str">
        <f t="shared" si="20"/>
        <v>8, 8</v>
      </c>
    </row>
    <row r="398" spans="26:29" x14ac:dyDescent="0.3">
      <c r="Z398" s="126" cm="1">
        <f t="array" ref="Z398">INDEX(Map!$B$2:$V$22,-Paths!AA398+11,Paths!AB398+11)</f>
        <v>0</v>
      </c>
      <c r="AA398" s="127">
        <f t="shared" si="18"/>
        <v>8</v>
      </c>
      <c r="AB398" s="127">
        <f t="shared" si="19"/>
        <v>9</v>
      </c>
      <c r="AC398" s="52" t="str">
        <f t="shared" si="20"/>
        <v>9, 8</v>
      </c>
    </row>
    <row r="399" spans="26:29" x14ac:dyDescent="0.3">
      <c r="Z399" s="126" cm="1">
        <f t="array" ref="Z399">INDEX(Map!$B$2:$V$22,-Paths!AA399+11,Paths!AB399+11)</f>
        <v>0</v>
      </c>
      <c r="AA399" s="127">
        <f t="shared" si="18"/>
        <v>8</v>
      </c>
      <c r="AB399" s="127">
        <f t="shared" si="19"/>
        <v>10</v>
      </c>
      <c r="AC399" s="52" t="str">
        <f t="shared" si="20"/>
        <v>10, 8</v>
      </c>
    </row>
    <row r="400" spans="26:29" x14ac:dyDescent="0.3">
      <c r="Z400" s="126" cm="1">
        <f t="array" ref="Z400">INDEX(Map!$B$2:$V$22,-Paths!AA400+11,Paths!AB400+11)</f>
        <v>0</v>
      </c>
      <c r="AA400" s="127">
        <f t="shared" si="18"/>
        <v>9</v>
      </c>
      <c r="AB400" s="127">
        <f t="shared" si="19"/>
        <v>-10</v>
      </c>
      <c r="AC400" s="52" t="str">
        <f t="shared" si="20"/>
        <v>-10, 9</v>
      </c>
    </row>
    <row r="401" spans="26:29" x14ac:dyDescent="0.3">
      <c r="Z401" s="126" cm="1">
        <f t="array" ref="Z401">INDEX(Map!$B$2:$V$22,-Paths!AA401+11,Paths!AB401+11)</f>
        <v>0</v>
      </c>
      <c r="AA401" s="127">
        <f t="shared" si="18"/>
        <v>9</v>
      </c>
      <c r="AB401" s="127">
        <f t="shared" si="19"/>
        <v>-9</v>
      </c>
      <c r="AC401" s="52" t="str">
        <f t="shared" si="20"/>
        <v>-9, 9</v>
      </c>
    </row>
    <row r="402" spans="26:29" x14ac:dyDescent="0.3">
      <c r="Z402" s="126" cm="1">
        <f t="array" ref="Z402">INDEX(Map!$B$2:$V$22,-Paths!AA402+11,Paths!AB402+11)</f>
        <v>0</v>
      </c>
      <c r="AA402" s="127">
        <f t="shared" si="18"/>
        <v>9</v>
      </c>
      <c r="AB402" s="127">
        <f t="shared" si="19"/>
        <v>-8</v>
      </c>
      <c r="AC402" s="52" t="str">
        <f t="shared" si="20"/>
        <v>-8, 9</v>
      </c>
    </row>
    <row r="403" spans="26:29" x14ac:dyDescent="0.3">
      <c r="Z403" s="126" cm="1">
        <f t="array" ref="Z403">INDEX(Map!$B$2:$V$22,-Paths!AA403+11,Paths!AB403+11)</f>
        <v>0</v>
      </c>
      <c r="AA403" s="127">
        <f t="shared" si="18"/>
        <v>9</v>
      </c>
      <c r="AB403" s="127">
        <f t="shared" si="19"/>
        <v>-7</v>
      </c>
      <c r="AC403" s="52" t="str">
        <f t="shared" si="20"/>
        <v>-7, 9</v>
      </c>
    </row>
    <row r="404" spans="26:29" x14ac:dyDescent="0.3">
      <c r="Z404" s="126" cm="1">
        <f t="array" ref="Z404">INDEX(Map!$B$2:$V$22,-Paths!AA404+11,Paths!AB404+11)</f>
        <v>0</v>
      </c>
      <c r="AA404" s="127">
        <f t="shared" si="18"/>
        <v>9</v>
      </c>
      <c r="AB404" s="127">
        <f t="shared" si="19"/>
        <v>-6</v>
      </c>
      <c r="AC404" s="52" t="str">
        <f t="shared" si="20"/>
        <v>-6, 9</v>
      </c>
    </row>
    <row r="405" spans="26:29" x14ac:dyDescent="0.3">
      <c r="Z405" s="126" cm="1">
        <f t="array" ref="Z405">INDEX(Map!$B$2:$V$22,-Paths!AA405+11,Paths!AB405+11)</f>
        <v>0</v>
      </c>
      <c r="AA405" s="127">
        <f t="shared" si="18"/>
        <v>9</v>
      </c>
      <c r="AB405" s="127">
        <f t="shared" si="19"/>
        <v>-5</v>
      </c>
      <c r="AC405" s="52" t="str">
        <f t="shared" si="20"/>
        <v>-5, 9</v>
      </c>
    </row>
    <row r="406" spans="26:29" x14ac:dyDescent="0.3">
      <c r="Z406" s="126" cm="1">
        <f t="array" ref="Z406">INDEX(Map!$B$2:$V$22,-Paths!AA406+11,Paths!AB406+11)</f>
        <v>0</v>
      </c>
      <c r="AA406" s="127">
        <f t="shared" si="18"/>
        <v>9</v>
      </c>
      <c r="AB406" s="127">
        <f t="shared" si="19"/>
        <v>-4</v>
      </c>
      <c r="AC406" s="52" t="str">
        <f t="shared" si="20"/>
        <v>-4, 9</v>
      </c>
    </row>
    <row r="407" spans="26:29" x14ac:dyDescent="0.3">
      <c r="Z407" s="126" cm="1">
        <f t="array" ref="Z407">INDEX(Map!$B$2:$V$22,-Paths!AA407+11,Paths!AB407+11)</f>
        <v>0</v>
      </c>
      <c r="AA407" s="127">
        <f t="shared" si="18"/>
        <v>9</v>
      </c>
      <c r="AB407" s="127">
        <f t="shared" si="19"/>
        <v>-3</v>
      </c>
      <c r="AC407" s="52" t="str">
        <f t="shared" si="20"/>
        <v>-3, 9</v>
      </c>
    </row>
    <row r="408" spans="26:29" x14ac:dyDescent="0.3">
      <c r="Z408" s="126" cm="1">
        <f t="array" ref="Z408">INDEX(Map!$B$2:$V$22,-Paths!AA408+11,Paths!AB408+11)</f>
        <v>0</v>
      </c>
      <c r="AA408" s="127">
        <f t="shared" si="18"/>
        <v>9</v>
      </c>
      <c r="AB408" s="127">
        <f t="shared" si="19"/>
        <v>-2</v>
      </c>
      <c r="AC408" s="52" t="str">
        <f t="shared" si="20"/>
        <v>-2, 9</v>
      </c>
    </row>
    <row r="409" spans="26:29" x14ac:dyDescent="0.3">
      <c r="Z409" s="126" cm="1">
        <f t="array" ref="Z409">INDEX(Map!$B$2:$V$22,-Paths!AA409+11,Paths!AB409+11)</f>
        <v>0</v>
      </c>
      <c r="AA409" s="127">
        <f t="shared" si="18"/>
        <v>9</v>
      </c>
      <c r="AB409" s="127">
        <f t="shared" si="19"/>
        <v>-1</v>
      </c>
      <c r="AC409" s="52" t="str">
        <f t="shared" si="20"/>
        <v>-1, 9</v>
      </c>
    </row>
    <row r="410" spans="26:29" x14ac:dyDescent="0.3">
      <c r="Z410" s="126" cm="1">
        <f t="array" ref="Z410">INDEX(Map!$B$2:$V$22,-Paths!AA410+11,Paths!AB410+11)</f>
        <v>0</v>
      </c>
      <c r="AA410" s="127">
        <f t="shared" si="18"/>
        <v>9</v>
      </c>
      <c r="AB410" s="127">
        <f t="shared" si="19"/>
        <v>0</v>
      </c>
      <c r="AC410" s="52" t="str">
        <f t="shared" si="20"/>
        <v>0, 9</v>
      </c>
    </row>
    <row r="411" spans="26:29" x14ac:dyDescent="0.3">
      <c r="Z411" s="126" cm="1">
        <f t="array" ref="Z411">INDEX(Map!$B$2:$V$22,-Paths!AA411+11,Paths!AB411+11)</f>
        <v>0</v>
      </c>
      <c r="AA411" s="127">
        <f t="shared" si="18"/>
        <v>9</v>
      </c>
      <c r="AB411" s="127">
        <f t="shared" si="19"/>
        <v>1</v>
      </c>
      <c r="AC411" s="52" t="str">
        <f t="shared" si="20"/>
        <v>1, 9</v>
      </c>
    </row>
    <row r="412" spans="26:29" x14ac:dyDescent="0.3">
      <c r="Z412" s="126" cm="1">
        <f t="array" ref="Z412">INDEX(Map!$B$2:$V$22,-Paths!AA412+11,Paths!AB412+11)</f>
        <v>0</v>
      </c>
      <c r="AA412" s="127">
        <f t="shared" si="18"/>
        <v>9</v>
      </c>
      <c r="AB412" s="127">
        <f t="shared" si="19"/>
        <v>2</v>
      </c>
      <c r="AC412" s="52" t="str">
        <f t="shared" si="20"/>
        <v>2, 9</v>
      </c>
    </row>
    <row r="413" spans="26:29" x14ac:dyDescent="0.3">
      <c r="Z413" s="126" cm="1">
        <f t="array" ref="Z413">INDEX(Map!$B$2:$V$22,-Paths!AA413+11,Paths!AB413+11)</f>
        <v>0</v>
      </c>
      <c r="AA413" s="127">
        <f t="shared" si="18"/>
        <v>9</v>
      </c>
      <c r="AB413" s="127">
        <f t="shared" si="19"/>
        <v>3</v>
      </c>
      <c r="AC413" s="52" t="str">
        <f t="shared" si="20"/>
        <v>3, 9</v>
      </c>
    </row>
    <row r="414" spans="26:29" x14ac:dyDescent="0.3">
      <c r="Z414" s="126" cm="1">
        <f t="array" ref="Z414">INDEX(Map!$B$2:$V$22,-Paths!AA414+11,Paths!AB414+11)</f>
        <v>0</v>
      </c>
      <c r="AA414" s="127">
        <f t="shared" si="18"/>
        <v>9</v>
      </c>
      <c r="AB414" s="127">
        <f t="shared" si="19"/>
        <v>4</v>
      </c>
      <c r="AC414" s="52" t="str">
        <f t="shared" si="20"/>
        <v>4, 9</v>
      </c>
    </row>
    <row r="415" spans="26:29" x14ac:dyDescent="0.3">
      <c r="Z415" s="126" cm="1">
        <f t="array" ref="Z415">INDEX(Map!$B$2:$V$22,-Paths!AA415+11,Paths!AB415+11)</f>
        <v>0</v>
      </c>
      <c r="AA415" s="127">
        <f t="shared" si="18"/>
        <v>9</v>
      </c>
      <c r="AB415" s="127">
        <f t="shared" si="19"/>
        <v>5</v>
      </c>
      <c r="AC415" s="52" t="str">
        <f t="shared" si="20"/>
        <v>5, 9</v>
      </c>
    </row>
    <row r="416" spans="26:29" x14ac:dyDescent="0.3">
      <c r="Z416" s="126" cm="1">
        <f t="array" ref="Z416">INDEX(Map!$B$2:$V$22,-Paths!AA416+11,Paths!AB416+11)</f>
        <v>0</v>
      </c>
      <c r="AA416" s="127">
        <f t="shared" si="18"/>
        <v>9</v>
      </c>
      <c r="AB416" s="127">
        <f t="shared" si="19"/>
        <v>6</v>
      </c>
      <c r="AC416" s="52" t="str">
        <f t="shared" si="20"/>
        <v>6, 9</v>
      </c>
    </row>
    <row r="417" spans="26:29" x14ac:dyDescent="0.3">
      <c r="Z417" s="126" cm="1">
        <f t="array" ref="Z417">INDEX(Map!$B$2:$V$22,-Paths!AA417+11,Paths!AB417+11)</f>
        <v>0</v>
      </c>
      <c r="AA417" s="127">
        <f t="shared" si="18"/>
        <v>9</v>
      </c>
      <c r="AB417" s="127">
        <f t="shared" si="19"/>
        <v>7</v>
      </c>
      <c r="AC417" s="52" t="str">
        <f t="shared" si="20"/>
        <v>7, 9</v>
      </c>
    </row>
    <row r="418" spans="26:29" x14ac:dyDescent="0.3">
      <c r="Z418" s="126" cm="1">
        <f t="array" ref="Z418">INDEX(Map!$B$2:$V$22,-Paths!AA418+11,Paths!AB418+11)</f>
        <v>0</v>
      </c>
      <c r="AA418" s="127">
        <f t="shared" si="18"/>
        <v>9</v>
      </c>
      <c r="AB418" s="127">
        <f t="shared" si="19"/>
        <v>8</v>
      </c>
      <c r="AC418" s="52" t="str">
        <f t="shared" si="20"/>
        <v>8, 9</v>
      </c>
    </row>
    <row r="419" spans="26:29" x14ac:dyDescent="0.3">
      <c r="Z419" s="126" cm="1">
        <f t="array" ref="Z419">INDEX(Map!$B$2:$V$22,-Paths!AA419+11,Paths!AB419+11)</f>
        <v>0</v>
      </c>
      <c r="AA419" s="127">
        <f t="shared" si="18"/>
        <v>9</v>
      </c>
      <c r="AB419" s="127">
        <f t="shared" si="19"/>
        <v>9</v>
      </c>
      <c r="AC419" s="52" t="str">
        <f t="shared" si="20"/>
        <v>9, 9</v>
      </c>
    </row>
    <row r="420" spans="26:29" x14ac:dyDescent="0.3">
      <c r="Z420" s="126" cm="1">
        <f t="array" ref="Z420">INDEX(Map!$B$2:$V$22,-Paths!AA420+11,Paths!AB420+11)</f>
        <v>0</v>
      </c>
      <c r="AA420" s="127">
        <f t="shared" si="18"/>
        <v>9</v>
      </c>
      <c r="AB420" s="127">
        <f t="shared" si="19"/>
        <v>10</v>
      </c>
      <c r="AC420" s="52" t="str">
        <f t="shared" si="20"/>
        <v>10, 9</v>
      </c>
    </row>
    <row r="421" spans="26:29" x14ac:dyDescent="0.3">
      <c r="Z421" s="126" t="str" cm="1">
        <f t="array" ref="Z421">INDEX(Map!$B$2:$V$22,-Paths!AA421+11,Paths!AB421+11)</f>
        <v>Blank_4</v>
      </c>
      <c r="AA421" s="127">
        <f t="shared" si="18"/>
        <v>10</v>
      </c>
      <c r="AB421" s="127">
        <f t="shared" si="19"/>
        <v>-10</v>
      </c>
      <c r="AC421" s="52" t="str">
        <f t="shared" si="20"/>
        <v>-10, 10</v>
      </c>
    </row>
    <row r="422" spans="26:29" x14ac:dyDescent="0.3">
      <c r="Z422" s="126" cm="1">
        <f t="array" ref="Z422">INDEX(Map!$B$2:$V$22,-Paths!AA422+11,Paths!AB422+11)</f>
        <v>0</v>
      </c>
      <c r="AA422" s="127">
        <f t="shared" si="18"/>
        <v>10</v>
      </c>
      <c r="AB422" s="127">
        <f t="shared" si="19"/>
        <v>-9</v>
      </c>
      <c r="AC422" s="52" t="str">
        <f t="shared" si="20"/>
        <v>-9, 10</v>
      </c>
    </row>
    <row r="423" spans="26:29" x14ac:dyDescent="0.3">
      <c r="Z423" s="126" cm="1">
        <f t="array" ref="Z423">INDEX(Map!$B$2:$V$22,-Paths!AA423+11,Paths!AB423+11)</f>
        <v>0</v>
      </c>
      <c r="AA423" s="127">
        <f t="shared" si="18"/>
        <v>10</v>
      </c>
      <c r="AB423" s="127">
        <f t="shared" si="19"/>
        <v>-8</v>
      </c>
      <c r="AC423" s="52" t="str">
        <f t="shared" si="20"/>
        <v>-8, 10</v>
      </c>
    </row>
    <row r="424" spans="26:29" x14ac:dyDescent="0.3">
      <c r="Z424" s="126" cm="1">
        <f t="array" ref="Z424">INDEX(Map!$B$2:$V$22,-Paths!AA424+11,Paths!AB424+11)</f>
        <v>0</v>
      </c>
      <c r="AA424" s="127">
        <f t="shared" si="18"/>
        <v>10</v>
      </c>
      <c r="AB424" s="127">
        <f t="shared" si="19"/>
        <v>-7</v>
      </c>
      <c r="AC424" s="52" t="str">
        <f t="shared" si="20"/>
        <v>-7, 10</v>
      </c>
    </row>
    <row r="425" spans="26:29" x14ac:dyDescent="0.3">
      <c r="Z425" s="126" cm="1">
        <f t="array" ref="Z425">INDEX(Map!$B$2:$V$22,-Paths!AA425+11,Paths!AB425+11)</f>
        <v>0</v>
      </c>
      <c r="AA425" s="127">
        <f t="shared" si="18"/>
        <v>10</v>
      </c>
      <c r="AB425" s="127">
        <f t="shared" si="19"/>
        <v>-6</v>
      </c>
      <c r="AC425" s="52" t="str">
        <f t="shared" si="20"/>
        <v>-6, 10</v>
      </c>
    </row>
    <row r="426" spans="26:29" x14ac:dyDescent="0.3">
      <c r="Z426" s="126" cm="1">
        <f t="array" ref="Z426">INDEX(Map!$B$2:$V$22,-Paths!AA426+11,Paths!AB426+11)</f>
        <v>0</v>
      </c>
      <c r="AA426" s="127">
        <f t="shared" si="18"/>
        <v>10</v>
      </c>
      <c r="AB426" s="127">
        <f t="shared" si="19"/>
        <v>-5</v>
      </c>
      <c r="AC426" s="52" t="str">
        <f t="shared" si="20"/>
        <v>-5, 10</v>
      </c>
    </row>
    <row r="427" spans="26:29" x14ac:dyDescent="0.3">
      <c r="Z427" s="126" cm="1">
        <f t="array" ref="Z427">INDEX(Map!$B$2:$V$22,-Paths!AA427+11,Paths!AB427+11)</f>
        <v>0</v>
      </c>
      <c r="AA427" s="127">
        <f t="shared" si="18"/>
        <v>10</v>
      </c>
      <c r="AB427" s="127">
        <f t="shared" si="19"/>
        <v>-4</v>
      </c>
      <c r="AC427" s="52" t="str">
        <f t="shared" si="20"/>
        <v>-4, 10</v>
      </c>
    </row>
    <row r="428" spans="26:29" x14ac:dyDescent="0.3">
      <c r="Z428" s="126" cm="1">
        <f t="array" ref="Z428">INDEX(Map!$B$2:$V$22,-Paths!AA428+11,Paths!AB428+11)</f>
        <v>0</v>
      </c>
      <c r="AA428" s="127">
        <f t="shared" si="18"/>
        <v>10</v>
      </c>
      <c r="AB428" s="127">
        <f t="shared" si="19"/>
        <v>-3</v>
      </c>
      <c r="AC428" s="52" t="str">
        <f t="shared" si="20"/>
        <v>-3, 10</v>
      </c>
    </row>
    <row r="429" spans="26:29" x14ac:dyDescent="0.3">
      <c r="Z429" s="126" cm="1">
        <f t="array" ref="Z429">INDEX(Map!$B$2:$V$22,-Paths!AA429+11,Paths!AB429+11)</f>
        <v>0</v>
      </c>
      <c r="AA429" s="127">
        <f t="shared" si="18"/>
        <v>10</v>
      </c>
      <c r="AB429" s="127">
        <f t="shared" si="19"/>
        <v>-2</v>
      </c>
      <c r="AC429" s="52" t="str">
        <f t="shared" si="20"/>
        <v>-2, 10</v>
      </c>
    </row>
    <row r="430" spans="26:29" x14ac:dyDescent="0.3">
      <c r="Z430" s="126" cm="1">
        <f t="array" ref="Z430">INDEX(Map!$B$2:$V$22,-Paths!AA430+11,Paths!AB430+11)</f>
        <v>0</v>
      </c>
      <c r="AA430" s="127">
        <f t="shared" si="18"/>
        <v>10</v>
      </c>
      <c r="AB430" s="127">
        <f t="shared" si="19"/>
        <v>-1</v>
      </c>
      <c r="AC430" s="52" t="str">
        <f t="shared" si="20"/>
        <v>-1, 10</v>
      </c>
    </row>
    <row r="431" spans="26:29" x14ac:dyDescent="0.3">
      <c r="Z431" s="126" cm="1">
        <f t="array" ref="Z431">INDEX(Map!$B$2:$V$22,-Paths!AA431+11,Paths!AB431+11)</f>
        <v>0</v>
      </c>
      <c r="AA431" s="127">
        <f t="shared" si="18"/>
        <v>10</v>
      </c>
      <c r="AB431" s="127">
        <f t="shared" si="19"/>
        <v>0</v>
      </c>
      <c r="AC431" s="52" t="str">
        <f t="shared" si="20"/>
        <v>0, 10</v>
      </c>
    </row>
    <row r="432" spans="26:29" x14ac:dyDescent="0.3">
      <c r="Z432" s="126" cm="1">
        <f t="array" ref="Z432">INDEX(Map!$B$2:$V$22,-Paths!AA432+11,Paths!AB432+11)</f>
        <v>0</v>
      </c>
      <c r="AA432" s="127">
        <f t="shared" si="18"/>
        <v>10</v>
      </c>
      <c r="AB432" s="127">
        <f t="shared" si="19"/>
        <v>1</v>
      </c>
      <c r="AC432" s="52" t="str">
        <f t="shared" si="20"/>
        <v>1, 10</v>
      </c>
    </row>
    <row r="433" spans="26:29" x14ac:dyDescent="0.3">
      <c r="Z433" s="126" cm="1">
        <f t="array" ref="Z433">INDEX(Map!$B$2:$V$22,-Paths!AA433+11,Paths!AB433+11)</f>
        <v>0</v>
      </c>
      <c r="AA433" s="127">
        <f t="shared" si="18"/>
        <v>10</v>
      </c>
      <c r="AB433" s="127">
        <f t="shared" si="19"/>
        <v>2</v>
      </c>
      <c r="AC433" s="52" t="str">
        <f t="shared" si="20"/>
        <v>2, 10</v>
      </c>
    </row>
    <row r="434" spans="26:29" x14ac:dyDescent="0.3">
      <c r="Z434" s="126" cm="1">
        <f t="array" ref="Z434">INDEX(Map!$B$2:$V$22,-Paths!AA434+11,Paths!AB434+11)</f>
        <v>0</v>
      </c>
      <c r="AA434" s="127">
        <f t="shared" si="18"/>
        <v>10</v>
      </c>
      <c r="AB434" s="127">
        <f t="shared" si="19"/>
        <v>3</v>
      </c>
      <c r="AC434" s="52" t="str">
        <f t="shared" si="20"/>
        <v>3, 10</v>
      </c>
    </row>
    <row r="435" spans="26:29" x14ac:dyDescent="0.3">
      <c r="Z435" s="126" cm="1">
        <f t="array" ref="Z435">INDEX(Map!$B$2:$V$22,-Paths!AA435+11,Paths!AB435+11)</f>
        <v>0</v>
      </c>
      <c r="AA435" s="127">
        <f t="shared" si="18"/>
        <v>10</v>
      </c>
      <c r="AB435" s="127">
        <f t="shared" si="19"/>
        <v>4</v>
      </c>
      <c r="AC435" s="52" t="str">
        <f t="shared" si="20"/>
        <v>4, 10</v>
      </c>
    </row>
    <row r="436" spans="26:29" x14ac:dyDescent="0.3">
      <c r="Z436" s="126" cm="1">
        <f t="array" ref="Z436">INDEX(Map!$B$2:$V$22,-Paths!AA436+11,Paths!AB436+11)</f>
        <v>0</v>
      </c>
      <c r="AA436" s="127">
        <f t="shared" si="18"/>
        <v>10</v>
      </c>
      <c r="AB436" s="127">
        <f t="shared" si="19"/>
        <v>5</v>
      </c>
      <c r="AC436" s="52" t="str">
        <f t="shared" si="20"/>
        <v>5, 10</v>
      </c>
    </row>
    <row r="437" spans="26:29" x14ac:dyDescent="0.3">
      <c r="Z437" s="126" cm="1">
        <f t="array" ref="Z437">INDEX(Map!$B$2:$V$22,-Paths!AA437+11,Paths!AB437+11)</f>
        <v>0</v>
      </c>
      <c r="AA437" s="127">
        <f t="shared" si="18"/>
        <v>10</v>
      </c>
      <c r="AB437" s="127">
        <f t="shared" si="19"/>
        <v>6</v>
      </c>
      <c r="AC437" s="52" t="str">
        <f t="shared" si="20"/>
        <v>6, 10</v>
      </c>
    </row>
    <row r="438" spans="26:29" x14ac:dyDescent="0.3">
      <c r="Z438" s="126" cm="1">
        <f t="array" ref="Z438">INDEX(Map!$B$2:$V$22,-Paths!AA438+11,Paths!AB438+11)</f>
        <v>0</v>
      </c>
      <c r="AA438" s="127">
        <f t="shared" si="18"/>
        <v>10</v>
      </c>
      <c r="AB438" s="127">
        <f t="shared" si="19"/>
        <v>7</v>
      </c>
      <c r="AC438" s="52" t="str">
        <f t="shared" si="20"/>
        <v>7, 10</v>
      </c>
    </row>
    <row r="439" spans="26:29" x14ac:dyDescent="0.3">
      <c r="Z439" s="126" cm="1">
        <f t="array" ref="Z439">INDEX(Map!$B$2:$V$22,-Paths!AA439+11,Paths!AB439+11)</f>
        <v>0</v>
      </c>
      <c r="AA439" s="127">
        <f t="shared" si="18"/>
        <v>10</v>
      </c>
      <c r="AB439" s="127">
        <f t="shared" si="19"/>
        <v>8</v>
      </c>
      <c r="AC439" s="52" t="str">
        <f t="shared" si="20"/>
        <v>8, 10</v>
      </c>
    </row>
    <row r="440" spans="26:29" x14ac:dyDescent="0.3">
      <c r="Z440" s="126" cm="1">
        <f t="array" ref="Z440">INDEX(Map!$B$2:$V$22,-Paths!AA440+11,Paths!AB440+11)</f>
        <v>0</v>
      </c>
      <c r="AA440" s="127">
        <f t="shared" si="18"/>
        <v>10</v>
      </c>
      <c r="AB440" s="127">
        <f t="shared" si="19"/>
        <v>9</v>
      </c>
      <c r="AC440" s="52" t="str">
        <f t="shared" si="20"/>
        <v>9, 10</v>
      </c>
    </row>
    <row r="441" spans="26:29" x14ac:dyDescent="0.3">
      <c r="Z441" s="126" t="str" cm="1">
        <f t="array" ref="Z441">INDEX(Map!$B$2:$V$22,-Paths!AA441+11,Paths!AB441+11)</f>
        <v>Blank_3</v>
      </c>
      <c r="AA441" s="127">
        <f t="shared" si="18"/>
        <v>10</v>
      </c>
      <c r="AB441" s="127">
        <f t="shared" si="19"/>
        <v>10</v>
      </c>
      <c r="AC441" s="52" t="str">
        <f t="shared" si="20"/>
        <v>10, 10</v>
      </c>
    </row>
  </sheetData>
  <sheetProtection sheet="1" formatCells="0"/>
  <mergeCells count="3">
    <mergeCell ref="D29:D31"/>
    <mergeCell ref="D302:D304"/>
    <mergeCell ref="D62:D64"/>
  </mergeCells>
  <phoneticPr fontId="6" type="noConversion"/>
  <conditionalFormatting sqref="E2:F5">
    <cfRule type="cellIs" dxfId="3" priority="3" operator="lessThan">
      <formula>-10</formula>
    </cfRule>
    <cfRule type="cellIs" dxfId="2" priority="4" operator="greaterThan">
      <formula>10</formula>
    </cfRule>
  </conditionalFormatting>
  <dataValidations count="2">
    <dataValidation allowBlank="1" showInputMessage="1" showErrorMessage="1" prompt="-10 &lt; X &lt;10" sqref="E1:E5" xr:uid="{89E4B2D3-0F9F-454B-B4FE-C7EAA3694E8F}"/>
    <dataValidation allowBlank="1" showInputMessage="1" showErrorMessage="1" prompt="-10&lt;Y&lt;10" sqref="F1:F5" xr:uid="{8BD82FA3-661D-4855-9034-68AD0BE68DB7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8" id="{E424332D-137A-48FD-8582-2AF28FA4158A}">
            <xm:f>AND(INDEX(Maze!$D:$D,QUOTIENT(ROW()+1,3)+1)&lt;&gt;"",MOD(ROW(),3)&lt;&gt;1)</xm:f>
            <x14:dxf>
              <fill>
                <gradientFill degree="90">
                  <stop position="0">
                    <color theme="0"/>
                  </stop>
                  <stop position="0.5">
                    <color rgb="FF61D6FF"/>
                  </stop>
                  <stop position="1">
                    <color theme="0"/>
                  </stop>
                </gradientFill>
              </fill>
              <border>
                <left/>
                <right/>
                <top/>
                <bottom/>
              </border>
            </x14:dxf>
          </x14:cfRule>
          <x14:cfRule type="expression" priority="59" id="{5A8D905D-964A-4BD1-AB00-95308D58ABE8}">
            <xm:f>INDEX(Maze!$A:$A,QUOTIENT(ROW()+1,3)+1)=0</xm:f>
            <x14:dxf>
              <fill>
                <gradientFill degree="90">
                  <stop position="0">
                    <color theme="0"/>
                  </stop>
                  <stop position="0.5">
                    <color rgb="FF61D6FF"/>
                  </stop>
                  <stop position="1">
                    <color theme="0"/>
                  </stop>
                </gradientFill>
              </fill>
              <border>
                <left/>
                <right/>
                <top/>
                <bottom/>
              </border>
            </x14:dxf>
          </x14:cfRule>
          <xm:sqref>A1:C1048576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BD245-2C88-45EC-BCFC-464A91A3187F}">
  <sheetPr codeName="Sheet8"/>
  <dimension ref="A1:D50"/>
  <sheetViews>
    <sheetView workbookViewId="0">
      <selection activeCell="C11" sqref="C11"/>
    </sheetView>
  </sheetViews>
  <sheetFormatPr defaultRowHeight="14.4" x14ac:dyDescent="0.3"/>
  <cols>
    <col min="1" max="1" width="10.88671875" style="75" customWidth="1"/>
    <col min="2" max="2" width="41.88671875" style="35" customWidth="1"/>
    <col min="3" max="3" width="60.21875" style="35" customWidth="1"/>
    <col min="4" max="4" width="90.88671875" customWidth="1"/>
  </cols>
  <sheetData>
    <row r="1" spans="1:4" ht="15" thickBot="1" x14ac:dyDescent="0.35">
      <c r="B1" s="35" t="s">
        <v>154</v>
      </c>
      <c r="D1" s="90"/>
    </row>
    <row r="2" spans="1:4" ht="15" thickBot="1" x14ac:dyDescent="0.35">
      <c r="A2" s="85"/>
      <c r="B2" s="95" t="s">
        <v>119</v>
      </c>
      <c r="C2" s="96" t="s">
        <v>96</v>
      </c>
      <c r="D2" s="97" t="s">
        <v>117</v>
      </c>
    </row>
    <row r="3" spans="1:4" ht="46.8" customHeight="1" thickBot="1" x14ac:dyDescent="0.35">
      <c r="A3" s="98" t="s">
        <v>151</v>
      </c>
      <c r="B3" s="92" t="s">
        <v>155</v>
      </c>
      <c r="C3" s="93" t="s">
        <v>160</v>
      </c>
      <c r="D3" s="94" t="s">
        <v>152</v>
      </c>
    </row>
    <row r="4" spans="1:4" ht="15" thickBot="1" x14ac:dyDescent="0.35">
      <c r="A4" s="91"/>
      <c r="B4" s="77"/>
      <c r="C4" s="72"/>
      <c r="D4" s="73"/>
    </row>
    <row r="5" spans="1:4" ht="60" customHeight="1" thickBot="1" x14ac:dyDescent="0.35">
      <c r="A5" s="87" t="s">
        <v>114</v>
      </c>
      <c r="B5" s="92" t="s">
        <v>100</v>
      </c>
      <c r="C5" s="93" t="s">
        <v>118</v>
      </c>
      <c r="D5" s="94" t="s">
        <v>110</v>
      </c>
    </row>
    <row r="6" spans="1:4" x14ac:dyDescent="0.3">
      <c r="A6" s="86"/>
      <c r="B6" s="77"/>
      <c r="C6" s="72"/>
      <c r="D6" s="73"/>
    </row>
    <row r="7" spans="1:4" ht="15" thickBot="1" x14ac:dyDescent="0.35">
      <c r="B7" s="77"/>
      <c r="C7" s="72"/>
      <c r="D7" s="74"/>
    </row>
    <row r="8" spans="1:4" ht="15" thickBot="1" x14ac:dyDescent="0.35">
      <c r="A8" s="82"/>
      <c r="B8" s="79" t="s">
        <v>113</v>
      </c>
      <c r="C8" s="80" t="s">
        <v>96</v>
      </c>
      <c r="D8" s="81" t="s">
        <v>117</v>
      </c>
    </row>
    <row r="9" spans="1:4" ht="60" customHeight="1" x14ac:dyDescent="0.3">
      <c r="A9" s="187" t="s">
        <v>115</v>
      </c>
      <c r="B9" s="39" t="s">
        <v>120</v>
      </c>
      <c r="C9" s="37" t="s">
        <v>121</v>
      </c>
      <c r="D9" s="71" t="s">
        <v>103</v>
      </c>
    </row>
    <row r="10" spans="1:4" ht="60" customHeight="1" thickBot="1" x14ac:dyDescent="0.35">
      <c r="A10" s="188"/>
      <c r="B10" s="40" t="s">
        <v>123</v>
      </c>
      <c r="C10" s="38" t="s">
        <v>122</v>
      </c>
      <c r="D10" s="41" t="s">
        <v>108</v>
      </c>
    </row>
    <row r="11" spans="1:4" x14ac:dyDescent="0.3">
      <c r="B11" s="76"/>
      <c r="C11" s="72"/>
      <c r="D11" s="73"/>
    </row>
    <row r="12" spans="1:4" ht="15" thickBot="1" x14ac:dyDescent="0.35">
      <c r="B12" s="77"/>
      <c r="C12" s="72"/>
      <c r="D12" s="74"/>
    </row>
    <row r="13" spans="1:4" ht="15.6" customHeight="1" thickBot="1" x14ac:dyDescent="0.35">
      <c r="B13" s="79" t="s">
        <v>124</v>
      </c>
      <c r="C13" s="80" t="s">
        <v>96</v>
      </c>
      <c r="D13" s="81" t="s">
        <v>117</v>
      </c>
    </row>
    <row r="14" spans="1:4" ht="73.2" customHeight="1" x14ac:dyDescent="0.3">
      <c r="A14" s="187" t="s">
        <v>116</v>
      </c>
      <c r="B14" s="78" t="s">
        <v>99</v>
      </c>
      <c r="C14" s="83" t="s">
        <v>127</v>
      </c>
      <c r="D14" s="84" t="s">
        <v>105</v>
      </c>
    </row>
    <row r="15" spans="1:4" ht="46.8" customHeight="1" x14ac:dyDescent="0.3">
      <c r="A15" s="189"/>
      <c r="B15" s="44" t="s">
        <v>98</v>
      </c>
      <c r="C15" s="46" t="s">
        <v>125</v>
      </c>
      <c r="D15" s="42" t="s">
        <v>111</v>
      </c>
    </row>
    <row r="16" spans="1:4" ht="49.8" customHeight="1" thickBot="1" x14ac:dyDescent="0.35">
      <c r="A16" s="188"/>
      <c r="B16" s="45" t="s">
        <v>104</v>
      </c>
      <c r="C16" s="47" t="s">
        <v>126</v>
      </c>
      <c r="D16" s="43" t="s">
        <v>112</v>
      </c>
    </row>
    <row r="17" spans="2:2" x14ac:dyDescent="0.3">
      <c r="B17" s="36"/>
    </row>
    <row r="18" spans="2:2" x14ac:dyDescent="0.3">
      <c r="B18" s="36"/>
    </row>
    <row r="50" spans="2:2" x14ac:dyDescent="0.3">
      <c r="B50" s="36"/>
    </row>
  </sheetData>
  <sheetProtection sheet="1" objects="1" scenarios="1"/>
  <mergeCells count="2">
    <mergeCell ref="A9:A10"/>
    <mergeCell ref="A14:A16"/>
  </mergeCells>
  <hyperlinks>
    <hyperlink ref="D9" r:id="rId1" display="Excel Convererter: https://docs.google.com/spreadsheets/d/1Q0a8-2sIvj7IQSQ2C1mAVWkEygv6768o" xr:uid="{00000000-0004-0000-0000-000002000000}"/>
    <hyperlink ref="D16" r:id="rId2" display="Link to your room : https://spotmaze.world/[username]?myroom" xr:uid="{14F49147-9D68-4428-A1E4-4E4AB1C4063B}"/>
    <hyperlink ref="D15" r:id="rId3" display="Link to your world : https://spotmaze.world/[username]." xr:uid="{1514167F-A997-4FBE-948A-3EB6BFBBC713}"/>
    <hyperlink ref="D5" r:id="rId4" display="Fork this Repo : https://github.com/spotmaze/spotmaze" xr:uid="{C6AF3A25-89FD-43F3-837A-B64965D54DB5}"/>
    <hyperlink ref="D14" r:id="rId5" display="https://github.com/spotmaze/spotmaze" xr:uid="{29C87671-412A-4950-9CE6-246B57D948CC}"/>
    <hyperlink ref="D10" r:id="rId6" location=" " display="https://beautifytools.com/excel-to-json-converter.php# " xr:uid="{0CA2ECDA-791A-48C5-BDFE-E61FF70FB0DC}"/>
    <hyperlink ref="D3" r:id="rId7" xr:uid="{F11C9E8E-4A90-46F5-8C3C-A8553D38F8C6}"/>
  </hyperlinks>
  <pageMargins left="0.7" right="0.7" top="0.75" bottom="0.75" header="0.3" footer="0.3"/>
  <pageSetup orientation="portrait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Website</vt:lpstr>
      <vt:lpstr>Developer Mode</vt:lpstr>
      <vt:lpstr>Base Plate</vt:lpstr>
      <vt:lpstr>Map</vt:lpstr>
      <vt:lpstr>Spots</vt:lpstr>
      <vt:lpstr>Maze</vt:lpstr>
      <vt:lpstr>Paths</vt:lpstr>
      <vt:lpstr>Upload 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Parag Pathak</dc:creator>
  <cp:lastModifiedBy>Admin</cp:lastModifiedBy>
  <dcterms:created xsi:type="dcterms:W3CDTF">2021-10-24T13:44:16Z</dcterms:created>
  <dcterms:modified xsi:type="dcterms:W3CDTF">2021-11-12T05:05:21Z</dcterms:modified>
</cp:coreProperties>
</file>