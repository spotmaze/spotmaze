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min\Documents\GitHub\Unity\WebGL builds\Game Assets\"/>
    </mc:Choice>
  </mc:AlternateContent>
  <xr:revisionPtr revIDLastSave="0" documentId="13_ncr:1_{938B3A25-E8C2-47A9-8FD0-32C01A10AFED}" xr6:coauthVersionLast="47" xr6:coauthVersionMax="47" xr10:uidLastSave="{00000000-0000-0000-0000-000000000000}"/>
  <bookViews>
    <workbookView xWindow="-108" yWindow="-108" windowWidth="23256" windowHeight="12720" activeTab="3" xr2:uid="{00000000-000D-0000-FFFF-FFFF00000000}"/>
  </bookViews>
  <sheets>
    <sheet name="Website" sheetId="9" r:id="rId1"/>
    <sheet name="Developer Mode" sheetId="7" r:id="rId2"/>
    <sheet name="Base Plate" sheetId="10" r:id="rId3"/>
    <sheet name="Map" sheetId="13" r:id="rId4"/>
    <sheet name="Spots" sheetId="1" r:id="rId5"/>
    <sheet name="Maze" sheetId="2" r:id="rId6"/>
    <sheet name="Paths" sheetId="11" r:id="rId7"/>
    <sheet name="Upload Process" sheetId="12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6" i="1" l="1" a="1"/>
  <c r="B36" i="1" s="1"/>
  <c r="D36" i="1" s="1" a="1"/>
  <c r="D36" i="1" s="1"/>
  <c r="C36" i="1" a="1"/>
  <c r="C36" i="1" s="1"/>
  <c r="F37" i="2" a="1"/>
  <c r="F37" i="2" s="1"/>
  <c r="G37" i="2" a="1"/>
  <c r="G37" i="2" s="1"/>
  <c r="F38" i="2" a="1"/>
  <c r="F38" i="2" s="1"/>
  <c r="A111" i="11" s="1" a="1"/>
  <c r="A111" i="11" s="1"/>
  <c r="G38" i="2" a="1"/>
  <c r="G38" i="2" s="1"/>
  <c r="B111" i="11" s="1" a="1"/>
  <c r="B111" i="11" s="1"/>
  <c r="F39" i="2" a="1"/>
  <c r="F39" i="2" s="1"/>
  <c r="G39" i="2" a="1"/>
  <c r="G39" i="2" s="1"/>
  <c r="F40" i="2" a="1"/>
  <c r="F40" i="2" s="1"/>
  <c r="A117" i="11" s="1" a="1"/>
  <c r="A117" i="11" s="1"/>
  <c r="G40" i="2" a="1"/>
  <c r="G40" i="2" s="1"/>
  <c r="B117" i="11" s="1" a="1"/>
  <c r="B117" i="11" s="1"/>
  <c r="F41" i="2" a="1"/>
  <c r="F41" i="2" s="1"/>
  <c r="A120" i="11" s="1" a="1"/>
  <c r="A120" i="11" s="1"/>
  <c r="G41" i="2" a="1"/>
  <c r="G41" i="2" s="1"/>
  <c r="F42" i="2" a="1"/>
  <c r="F42" i="2" s="1"/>
  <c r="G42" i="2" a="1"/>
  <c r="G42" i="2" s="1"/>
  <c r="C37" i="2" a="1"/>
  <c r="C37" i="2" s="1"/>
  <c r="D37" i="2" a="1"/>
  <c r="D37" i="2" s="1"/>
  <c r="C38" i="2" a="1"/>
  <c r="C38" i="2" s="1"/>
  <c r="D38" i="2" a="1"/>
  <c r="D38" i="2" s="1"/>
  <c r="C39" i="2" a="1"/>
  <c r="C39" i="2" s="1"/>
  <c r="D39" i="2" a="1"/>
  <c r="D39" i="2" s="1"/>
  <c r="B113" i="11" s="1" a="1"/>
  <c r="B113" i="11" s="1"/>
  <c r="C40" i="2" a="1"/>
  <c r="C40" i="2" s="1"/>
  <c r="A116" i="11" s="1" a="1"/>
  <c r="A116" i="11" s="1"/>
  <c r="D40" i="2" a="1"/>
  <c r="D40" i="2" s="1"/>
  <c r="B116" i="11" s="1" a="1"/>
  <c r="B116" i="11" s="1"/>
  <c r="C41" i="2" a="1"/>
  <c r="C41" i="2" s="1"/>
  <c r="D41" i="2" a="1"/>
  <c r="D41" i="2" s="1"/>
  <c r="C42" i="2" a="1"/>
  <c r="C42" i="2" s="1"/>
  <c r="D42" i="2" a="1"/>
  <c r="D42" i="2" s="1"/>
  <c r="C65" i="11" a="1"/>
  <c r="C65" i="11" s="1"/>
  <c r="C66" i="11" a="1"/>
  <c r="C66" i="11" s="1"/>
  <c r="C68" i="11" a="1"/>
  <c r="C68" i="11" s="1"/>
  <c r="C69" i="11" a="1"/>
  <c r="C69" i="11" s="1"/>
  <c r="C71" i="11" a="1"/>
  <c r="C71" i="11" s="1"/>
  <c r="C72" i="11" a="1"/>
  <c r="C72" i="11" s="1"/>
  <c r="C74" i="11" a="1"/>
  <c r="C74" i="11" s="1"/>
  <c r="C75" i="11" a="1"/>
  <c r="C75" i="11" s="1"/>
  <c r="C77" i="11" a="1"/>
  <c r="C77" i="11" s="1"/>
  <c r="C78" i="11" a="1"/>
  <c r="C78" i="11" s="1"/>
  <c r="C83" i="11" a="1"/>
  <c r="C83" i="11" s="1"/>
  <c r="C84" i="11" a="1"/>
  <c r="C84" i="11" s="1"/>
  <c r="C86" i="11" a="1"/>
  <c r="C86" i="11" s="1"/>
  <c r="C87" i="11" a="1"/>
  <c r="C87" i="11"/>
  <c r="C89" i="11" a="1"/>
  <c r="C89" i="11" s="1"/>
  <c r="C90" i="11" a="1"/>
  <c r="C90" i="11" s="1"/>
  <c r="C92" i="11" a="1"/>
  <c r="C92" i="11" s="1"/>
  <c r="C93" i="11" a="1"/>
  <c r="C93" i="11" s="1"/>
  <c r="C95" i="11" a="1"/>
  <c r="C95" i="11" s="1"/>
  <c r="C96" i="11" a="1"/>
  <c r="C96" i="11" s="1"/>
  <c r="C98" i="11" a="1"/>
  <c r="C98" i="11" s="1"/>
  <c r="C99" i="11" a="1"/>
  <c r="C99" i="11" s="1"/>
  <c r="C101" i="11" a="1"/>
  <c r="C101" i="11" s="1"/>
  <c r="C102" i="11" a="1"/>
  <c r="C102" i="11" s="1"/>
  <c r="C104" i="11" a="1"/>
  <c r="C104" i="11" s="1"/>
  <c r="C105" i="11" a="1"/>
  <c r="C105" i="11" s="1"/>
  <c r="C107" i="11" a="1"/>
  <c r="C107" i="11" s="1"/>
  <c r="C108" i="11" a="1"/>
  <c r="C108" i="11" s="1"/>
  <c r="C110" i="11" a="1"/>
  <c r="C110" i="11" s="1"/>
  <c r="C111" i="11" a="1"/>
  <c r="C111" i="11" s="1"/>
  <c r="C113" i="11" a="1"/>
  <c r="C113" i="11" s="1"/>
  <c r="C114" i="11" a="1"/>
  <c r="C114" i="11" s="1"/>
  <c r="C116" i="11" a="1"/>
  <c r="C116" i="11" s="1"/>
  <c r="C117" i="11" a="1"/>
  <c r="C117" i="11" s="1"/>
  <c r="C119" i="11" a="1"/>
  <c r="C119" i="11" s="1"/>
  <c r="C120" i="11" a="1"/>
  <c r="C120" i="11" s="1"/>
  <c r="A110" i="11" a="1"/>
  <c r="A110" i="11" s="1"/>
  <c r="B110" i="11" a="1"/>
  <c r="B110" i="11" s="1"/>
  <c r="A113" i="11" a="1"/>
  <c r="A113" i="11" s="1"/>
  <c r="B120" i="11" a="1"/>
  <c r="B120" i="11" s="1"/>
  <c r="C2" i="11" a="1"/>
  <c r="C2" i="11" s="1"/>
  <c r="C3" i="11" a="1"/>
  <c r="C3" i="11" s="1"/>
  <c r="C5" i="11" a="1"/>
  <c r="C5" i="11" s="1"/>
  <c r="C6" i="11" a="1"/>
  <c r="C6" i="11" s="1"/>
  <c r="C8" i="11" a="1"/>
  <c r="C8" i="11" s="1"/>
  <c r="C9" i="11" a="1"/>
  <c r="C9" i="11" s="1"/>
  <c r="C11" i="11" a="1"/>
  <c r="C11" i="11" s="1"/>
  <c r="C12" i="11" a="1"/>
  <c r="C12" i="11" s="1"/>
  <c r="C14" i="11" a="1"/>
  <c r="C14" i="11" s="1"/>
  <c r="C15" i="11" a="1"/>
  <c r="C15" i="11" s="1"/>
  <c r="C17" i="11" a="1"/>
  <c r="C17" i="11" s="1"/>
  <c r="C18" i="11" a="1"/>
  <c r="C18" i="11" s="1"/>
  <c r="C20" i="11" a="1"/>
  <c r="C20" i="11" s="1"/>
  <c r="C21" i="11" a="1"/>
  <c r="C21" i="11" s="1"/>
  <c r="C23" i="11" a="1"/>
  <c r="C23" i="11" s="1"/>
  <c r="C24" i="11" a="1"/>
  <c r="C24" i="11" s="1"/>
  <c r="C26" i="11" a="1"/>
  <c r="C26" i="11" s="1"/>
  <c r="C27" i="11" a="1"/>
  <c r="C27" i="11" s="1"/>
  <c r="C29" i="11" a="1"/>
  <c r="C29" i="11" s="1"/>
  <c r="C30" i="11" a="1"/>
  <c r="C30" i="11" s="1"/>
  <c r="C32" i="11" a="1"/>
  <c r="C32" i="11" s="1"/>
  <c r="C33" i="11" a="1"/>
  <c r="C33" i="11" s="1"/>
  <c r="C35" i="11" a="1"/>
  <c r="C35" i="11" s="1"/>
  <c r="C36" i="11" a="1"/>
  <c r="C36" i="11" s="1"/>
  <c r="C38" i="11" a="1"/>
  <c r="C38" i="11" s="1"/>
  <c r="C39" i="11" a="1"/>
  <c r="C39" i="11" s="1"/>
  <c r="C41" i="11" a="1"/>
  <c r="C41" i="11" s="1"/>
  <c r="C42" i="11" a="1"/>
  <c r="C42" i="11" s="1"/>
  <c r="C44" i="11" a="1"/>
  <c r="C44" i="11" s="1"/>
  <c r="C45" i="11" a="1"/>
  <c r="C45" i="11" s="1"/>
  <c r="C47" i="11" a="1"/>
  <c r="C47" i="11" s="1"/>
  <c r="C48" i="11" a="1"/>
  <c r="C48" i="11" s="1"/>
  <c r="C50" i="11" a="1"/>
  <c r="C50" i="11" s="1"/>
  <c r="C51" i="11" a="1"/>
  <c r="C51" i="11" s="1"/>
  <c r="C54" i="11" a="1"/>
  <c r="C54" i="11" s="1"/>
  <c r="C53" i="11" a="1"/>
  <c r="C53" i="11" s="1"/>
  <c r="C57" i="11" a="1"/>
  <c r="C57" i="11" s="1"/>
  <c r="C56" i="11" a="1"/>
  <c r="C56" i="11" s="1"/>
  <c r="C81" i="11" a="1"/>
  <c r="C81" i="11" s="1"/>
  <c r="C80" i="11" a="1"/>
  <c r="C80" i="11" s="1"/>
  <c r="C59" i="11" a="1"/>
  <c r="C59" i="11" s="1"/>
  <c r="C60" i="11" a="1"/>
  <c r="C60" i="11" s="1"/>
  <c r="C62" i="11" a="1"/>
  <c r="C62" i="11" s="1"/>
  <c r="C63" i="11" a="1"/>
  <c r="C63" i="11" s="1"/>
  <c r="AA15" i="11"/>
  <c r="AB1" i="11"/>
  <c r="AC1" i="11" s="1"/>
  <c r="AA1" i="11"/>
  <c r="AB2" i="11"/>
  <c r="AA2" i="11"/>
  <c r="AC2" i="11" s="1"/>
  <c r="AB3" i="11"/>
  <c r="AC3" i="11" s="1"/>
  <c r="AA3" i="11"/>
  <c r="AB4" i="11"/>
  <c r="AA4" i="11"/>
  <c r="AB5" i="11"/>
  <c r="AC5" i="11" s="1"/>
  <c r="AA5" i="11"/>
  <c r="AB6" i="11"/>
  <c r="AC6" i="11" s="1"/>
  <c r="AA6" i="11"/>
  <c r="AB7" i="11"/>
  <c r="AC7" i="11" s="1"/>
  <c r="AA7" i="11"/>
  <c r="AB8" i="11"/>
  <c r="AA8" i="11"/>
  <c r="AB9" i="11"/>
  <c r="AC9" i="11" s="1"/>
  <c r="AA9" i="11"/>
  <c r="AB10" i="11"/>
  <c r="AA10" i="11"/>
  <c r="AC10" i="11" s="1"/>
  <c r="AB11" i="11"/>
  <c r="AC11" i="11" s="1"/>
  <c r="AA11" i="11"/>
  <c r="AB12" i="11"/>
  <c r="AA12" i="11"/>
  <c r="AB13" i="11"/>
  <c r="AC13" i="11" s="1"/>
  <c r="AA13" i="11"/>
  <c r="AB14" i="11"/>
  <c r="AC14" i="11" s="1"/>
  <c r="AA14" i="11"/>
  <c r="AB15" i="11"/>
  <c r="AC15" i="11" s="1"/>
  <c r="AB16" i="11"/>
  <c r="AC16" i="11" s="1"/>
  <c r="AA16" i="11"/>
  <c r="AB17" i="11"/>
  <c r="AA17" i="11"/>
  <c r="AB18" i="11"/>
  <c r="AC18" i="11" s="1"/>
  <c r="AA18" i="11"/>
  <c r="AB19" i="11"/>
  <c r="AA19" i="11"/>
  <c r="AB20" i="11"/>
  <c r="AC20" i="11" s="1"/>
  <c r="AA20" i="11"/>
  <c r="AB21" i="11"/>
  <c r="AA21" i="11"/>
  <c r="AB22" i="11"/>
  <c r="AC22" i="11" s="1"/>
  <c r="AA22" i="11"/>
  <c r="AB23" i="11"/>
  <c r="AA23" i="11"/>
  <c r="AB24" i="11"/>
  <c r="AC24" i="11" s="1"/>
  <c r="AA24" i="11"/>
  <c r="AB25" i="11"/>
  <c r="AA25" i="11"/>
  <c r="AB26" i="11"/>
  <c r="AC26" i="11" s="1"/>
  <c r="AA26" i="11"/>
  <c r="AB27" i="11"/>
  <c r="AA27" i="11"/>
  <c r="AB28" i="11"/>
  <c r="AC28" i="11" s="1"/>
  <c r="AA28" i="11"/>
  <c r="AB29" i="11"/>
  <c r="AA29" i="11"/>
  <c r="AB30" i="11"/>
  <c r="AC30" i="11" s="1"/>
  <c r="AA30" i="11"/>
  <c r="AB31" i="11"/>
  <c r="AA31" i="11"/>
  <c r="AB32" i="11"/>
  <c r="AC32" i="11" s="1"/>
  <c r="AA32" i="11"/>
  <c r="AB33" i="11"/>
  <c r="AA33" i="11"/>
  <c r="AB34" i="11"/>
  <c r="AC34" i="11" s="1"/>
  <c r="AA34" i="11"/>
  <c r="AB35" i="11"/>
  <c r="AA35" i="11"/>
  <c r="AB36" i="11"/>
  <c r="AC36" i="11" s="1"/>
  <c r="AA36" i="11"/>
  <c r="AB37" i="11"/>
  <c r="AA37" i="11"/>
  <c r="AB38" i="11"/>
  <c r="AC38" i="11" s="1"/>
  <c r="AA38" i="11"/>
  <c r="AB39" i="11"/>
  <c r="AA39" i="11"/>
  <c r="AB40" i="11"/>
  <c r="AC40" i="11" s="1"/>
  <c r="AA40" i="11"/>
  <c r="AB41" i="11"/>
  <c r="AA41" i="11"/>
  <c r="AB42" i="11"/>
  <c r="AC42" i="11" s="1"/>
  <c r="AA42" i="11"/>
  <c r="AB43" i="11"/>
  <c r="AA43" i="11"/>
  <c r="AB44" i="11"/>
  <c r="AC44" i="11" s="1"/>
  <c r="AA44" i="11"/>
  <c r="AB45" i="11"/>
  <c r="AA45" i="11"/>
  <c r="AB46" i="11"/>
  <c r="AC46" i="11" s="1"/>
  <c r="AA46" i="11"/>
  <c r="AB47" i="11"/>
  <c r="AA47" i="11"/>
  <c r="AB48" i="11"/>
  <c r="AC48" i="11" s="1"/>
  <c r="AA48" i="11"/>
  <c r="AB49" i="11"/>
  <c r="AA49" i="11"/>
  <c r="AB50" i="11"/>
  <c r="AC50" i="11" s="1"/>
  <c r="AA50" i="11"/>
  <c r="AB51" i="11"/>
  <c r="AA51" i="11"/>
  <c r="AB52" i="11"/>
  <c r="AC52" i="11" s="1"/>
  <c r="AA52" i="11"/>
  <c r="AB53" i="11"/>
  <c r="AA53" i="11"/>
  <c r="AB54" i="11"/>
  <c r="AC54" i="11" s="1"/>
  <c r="AA54" i="11"/>
  <c r="AB55" i="11"/>
  <c r="AA55" i="11"/>
  <c r="AB56" i="11"/>
  <c r="AC56" i="11" s="1"/>
  <c r="AA56" i="11"/>
  <c r="AB57" i="11"/>
  <c r="AA57" i="11"/>
  <c r="AB58" i="11"/>
  <c r="AC58" i="11" s="1"/>
  <c r="AA58" i="11"/>
  <c r="AB59" i="11"/>
  <c r="AA59" i="11"/>
  <c r="AB60" i="11"/>
  <c r="AC60" i="11" s="1"/>
  <c r="AA60" i="11"/>
  <c r="AB61" i="11"/>
  <c r="AA61" i="11"/>
  <c r="AB62" i="11"/>
  <c r="AC62" i="11" s="1"/>
  <c r="AA62" i="11"/>
  <c r="AB63" i="11"/>
  <c r="AA63" i="11"/>
  <c r="AB64" i="11"/>
  <c r="AC64" i="11" s="1"/>
  <c r="AA64" i="11"/>
  <c r="AB65" i="11"/>
  <c r="AA65" i="11"/>
  <c r="AB66" i="11"/>
  <c r="AC66" i="11" s="1"/>
  <c r="AA66" i="11"/>
  <c r="AB67" i="11"/>
  <c r="AA67" i="11"/>
  <c r="AB68" i="11"/>
  <c r="AC68" i="11" s="1"/>
  <c r="AA68" i="11"/>
  <c r="AB69" i="11"/>
  <c r="AA69" i="11"/>
  <c r="AB70" i="11"/>
  <c r="AC70" i="11" s="1"/>
  <c r="AA70" i="11"/>
  <c r="AB71" i="11"/>
  <c r="AA71" i="11"/>
  <c r="AB72" i="11"/>
  <c r="AC72" i="11" s="1"/>
  <c r="AA72" i="11"/>
  <c r="AB73" i="11"/>
  <c r="AA73" i="11"/>
  <c r="AB74" i="11"/>
  <c r="AC74" i="11" s="1"/>
  <c r="AA74" i="11"/>
  <c r="AB75" i="11"/>
  <c r="AA75" i="11"/>
  <c r="AB76" i="11"/>
  <c r="AC76" i="11" s="1"/>
  <c r="AA76" i="11"/>
  <c r="AB77" i="11"/>
  <c r="AA77" i="11"/>
  <c r="AB78" i="11"/>
  <c r="AC78" i="11" s="1"/>
  <c r="AA78" i="11"/>
  <c r="AB79" i="11"/>
  <c r="AA79" i="11"/>
  <c r="AB80" i="11"/>
  <c r="AC80" i="11" s="1"/>
  <c r="AA80" i="11"/>
  <c r="AB81" i="11"/>
  <c r="AA81" i="11"/>
  <c r="AB82" i="11"/>
  <c r="AC82" i="11" s="1"/>
  <c r="AA82" i="11"/>
  <c r="AB83" i="11"/>
  <c r="AA83" i="11"/>
  <c r="AB84" i="11"/>
  <c r="AC84" i="11" s="1"/>
  <c r="AA84" i="11"/>
  <c r="AB85" i="11"/>
  <c r="AA85" i="11"/>
  <c r="AB86" i="11"/>
  <c r="AC86" i="11" s="1"/>
  <c r="AA86" i="11"/>
  <c r="AB87" i="11"/>
  <c r="AA87" i="11"/>
  <c r="AB88" i="11"/>
  <c r="AC88" i="11" s="1"/>
  <c r="AA88" i="11"/>
  <c r="AB89" i="11"/>
  <c r="AA89" i="11"/>
  <c r="AB90" i="11"/>
  <c r="AC90" i="11" s="1"/>
  <c r="AA90" i="11"/>
  <c r="AB91" i="11"/>
  <c r="AA91" i="11"/>
  <c r="AB92" i="11"/>
  <c r="AC92" i="11" s="1"/>
  <c r="AA92" i="11"/>
  <c r="AB93" i="11"/>
  <c r="AA93" i="11"/>
  <c r="AB94" i="11"/>
  <c r="AC94" i="11" s="1"/>
  <c r="AA94" i="11"/>
  <c r="AB95" i="11"/>
  <c r="AA95" i="11"/>
  <c r="AB96" i="11"/>
  <c r="AC96" i="11" s="1"/>
  <c r="AA96" i="11"/>
  <c r="AB97" i="11"/>
  <c r="AA97" i="11"/>
  <c r="AB98" i="11"/>
  <c r="AC98" i="11" s="1"/>
  <c r="AA98" i="11"/>
  <c r="AB99" i="11"/>
  <c r="AA99" i="11"/>
  <c r="AB100" i="11"/>
  <c r="AC100" i="11" s="1"/>
  <c r="AA100" i="11"/>
  <c r="AB101" i="11"/>
  <c r="AA101" i="11"/>
  <c r="AB102" i="11"/>
  <c r="AC102" i="11" s="1"/>
  <c r="AA102" i="11"/>
  <c r="AB103" i="11"/>
  <c r="AA103" i="11"/>
  <c r="AB104" i="11"/>
  <c r="AC104" i="11" s="1"/>
  <c r="AA104" i="11"/>
  <c r="AB105" i="11"/>
  <c r="AA105" i="11"/>
  <c r="AB106" i="11"/>
  <c r="AC106" i="11" s="1"/>
  <c r="AA106" i="11"/>
  <c r="AB107" i="11"/>
  <c r="AA107" i="11"/>
  <c r="AB108" i="11"/>
  <c r="AC108" i="11" s="1"/>
  <c r="AA108" i="11"/>
  <c r="AB109" i="11"/>
  <c r="AA109" i="11"/>
  <c r="AB110" i="11"/>
  <c r="AC110" i="11" s="1"/>
  <c r="AA110" i="11"/>
  <c r="AB111" i="11"/>
  <c r="AA111" i="11"/>
  <c r="AB112" i="11"/>
  <c r="AC112" i="11" s="1"/>
  <c r="AA112" i="11"/>
  <c r="AB113" i="11"/>
  <c r="AA113" i="11"/>
  <c r="AB114" i="11"/>
  <c r="AC114" i="11" s="1"/>
  <c r="AA114" i="11"/>
  <c r="AB115" i="11"/>
  <c r="AA115" i="11"/>
  <c r="AB116" i="11"/>
  <c r="AC116" i="11" s="1"/>
  <c r="AA116" i="11"/>
  <c r="AB117" i="11"/>
  <c r="AA117" i="11"/>
  <c r="AB118" i="11"/>
  <c r="AC118" i="11" s="1"/>
  <c r="AA118" i="11"/>
  <c r="AB119" i="11"/>
  <c r="AA119" i="11"/>
  <c r="AB120" i="11"/>
  <c r="AC120" i="11" s="1"/>
  <c r="AA120" i="11"/>
  <c r="AB121" i="11"/>
  <c r="AA121" i="11"/>
  <c r="AB122" i="11"/>
  <c r="AC122" i="11" s="1"/>
  <c r="AA122" i="11"/>
  <c r="AB123" i="11"/>
  <c r="AA123" i="11"/>
  <c r="AB124" i="11"/>
  <c r="AC124" i="11" s="1"/>
  <c r="AA124" i="11"/>
  <c r="AB125" i="11"/>
  <c r="AA125" i="11"/>
  <c r="AB126" i="11"/>
  <c r="AC126" i="11" s="1"/>
  <c r="AA126" i="11"/>
  <c r="AB127" i="11"/>
  <c r="AA127" i="11"/>
  <c r="AB128" i="11"/>
  <c r="AC128" i="11" s="1"/>
  <c r="AA128" i="11"/>
  <c r="AB129" i="11"/>
  <c r="AA129" i="11"/>
  <c r="AB130" i="11"/>
  <c r="AC130" i="11" s="1"/>
  <c r="AA130" i="11"/>
  <c r="AB131" i="11"/>
  <c r="AA131" i="11"/>
  <c r="AB132" i="11"/>
  <c r="AC132" i="11" s="1"/>
  <c r="AA132" i="11"/>
  <c r="AB133" i="11"/>
  <c r="AA133" i="11"/>
  <c r="AB134" i="11"/>
  <c r="AC134" i="11" s="1"/>
  <c r="AA134" i="11"/>
  <c r="AB135" i="11"/>
  <c r="AA135" i="11"/>
  <c r="AB136" i="11"/>
  <c r="AC136" i="11" s="1"/>
  <c r="AA136" i="11"/>
  <c r="AB137" i="11"/>
  <c r="AA137" i="11"/>
  <c r="AB138" i="11"/>
  <c r="AC138" i="11" s="1"/>
  <c r="AA138" i="11"/>
  <c r="AB139" i="11"/>
  <c r="AA139" i="11"/>
  <c r="AB140" i="11"/>
  <c r="AC140" i="11" s="1"/>
  <c r="AA140" i="11"/>
  <c r="AB141" i="11"/>
  <c r="AA141" i="11"/>
  <c r="AB142" i="11"/>
  <c r="AC142" i="11" s="1"/>
  <c r="AA142" i="11"/>
  <c r="AB143" i="11"/>
  <c r="AA143" i="11"/>
  <c r="AB144" i="11"/>
  <c r="AC144" i="11" s="1"/>
  <c r="AA144" i="11"/>
  <c r="AB145" i="11"/>
  <c r="AA145" i="11"/>
  <c r="AB146" i="11"/>
  <c r="AC146" i="11" s="1"/>
  <c r="AA146" i="11"/>
  <c r="AB147" i="11"/>
  <c r="AA147" i="11"/>
  <c r="AB148" i="11"/>
  <c r="AC148" i="11" s="1"/>
  <c r="AA148" i="11"/>
  <c r="AB149" i="11"/>
  <c r="AA149" i="11"/>
  <c r="AB150" i="11"/>
  <c r="AC150" i="11" s="1"/>
  <c r="AA150" i="11"/>
  <c r="AB151" i="11"/>
  <c r="AA151" i="11"/>
  <c r="AB152" i="11"/>
  <c r="AC152" i="11" s="1"/>
  <c r="AA152" i="11"/>
  <c r="AB153" i="11"/>
  <c r="AA153" i="11"/>
  <c r="AB154" i="11"/>
  <c r="AC154" i="11" s="1"/>
  <c r="AA154" i="11"/>
  <c r="AB155" i="11"/>
  <c r="AA155" i="11"/>
  <c r="AB156" i="11"/>
  <c r="AC156" i="11" s="1"/>
  <c r="AA156" i="11"/>
  <c r="AB157" i="11"/>
  <c r="AA157" i="11"/>
  <c r="AB158" i="11"/>
  <c r="AC158" i="11" s="1"/>
  <c r="AA158" i="11"/>
  <c r="AB159" i="11"/>
  <c r="AA159" i="11"/>
  <c r="AB160" i="11"/>
  <c r="AC160" i="11" s="1"/>
  <c r="AA160" i="11"/>
  <c r="AB161" i="11"/>
  <c r="AA161" i="11"/>
  <c r="AB162" i="11"/>
  <c r="AC162" i="11" s="1"/>
  <c r="AA162" i="11"/>
  <c r="AB163" i="11"/>
  <c r="AA163" i="11"/>
  <c r="AB164" i="11"/>
  <c r="AC164" i="11" s="1"/>
  <c r="AA164" i="11"/>
  <c r="AB165" i="11"/>
  <c r="AA165" i="11"/>
  <c r="AB166" i="11"/>
  <c r="AC166" i="11" s="1"/>
  <c r="AA166" i="11"/>
  <c r="AB167" i="11"/>
  <c r="AA167" i="11"/>
  <c r="AB168" i="11"/>
  <c r="AC168" i="11" s="1"/>
  <c r="AA168" i="11"/>
  <c r="AB169" i="11"/>
  <c r="AA169" i="11"/>
  <c r="AB170" i="11"/>
  <c r="AC170" i="11" s="1"/>
  <c r="AA170" i="11"/>
  <c r="AB171" i="11"/>
  <c r="AA171" i="11"/>
  <c r="AB172" i="11"/>
  <c r="AC172" i="11" s="1"/>
  <c r="AA172" i="11"/>
  <c r="AB173" i="11"/>
  <c r="AA173" i="11"/>
  <c r="AB174" i="11"/>
  <c r="AC174" i="11" s="1"/>
  <c r="AA174" i="11"/>
  <c r="AB175" i="11"/>
  <c r="AC175" i="11" s="1"/>
  <c r="AA175" i="11"/>
  <c r="AB176" i="11"/>
  <c r="AC176" i="11" s="1"/>
  <c r="AA176" i="11"/>
  <c r="AB177" i="11"/>
  <c r="AC177" i="11" s="1"/>
  <c r="AA177" i="11"/>
  <c r="AB178" i="11"/>
  <c r="AC178" i="11" s="1"/>
  <c r="AA178" i="11"/>
  <c r="AB179" i="11"/>
  <c r="AC179" i="11" s="1"/>
  <c r="AA179" i="11"/>
  <c r="AB180" i="11"/>
  <c r="AC180" i="11" s="1"/>
  <c r="AA180" i="11"/>
  <c r="AB181" i="11"/>
  <c r="AC181" i="11" s="1"/>
  <c r="AA181" i="11"/>
  <c r="AB182" i="11"/>
  <c r="AC182" i="11" s="1"/>
  <c r="AA182" i="11"/>
  <c r="AB183" i="11"/>
  <c r="AC183" i="11" s="1"/>
  <c r="AA183" i="11"/>
  <c r="AB184" i="11"/>
  <c r="AC184" i="11" s="1"/>
  <c r="AA184" i="11"/>
  <c r="AB185" i="11"/>
  <c r="AC185" i="11" s="1"/>
  <c r="AA185" i="11"/>
  <c r="AB186" i="11"/>
  <c r="AC186" i="11" s="1"/>
  <c r="AA186" i="11"/>
  <c r="AB187" i="11"/>
  <c r="AC187" i="11" s="1"/>
  <c r="AA187" i="11"/>
  <c r="AB188" i="11"/>
  <c r="AC188" i="11" s="1"/>
  <c r="AA188" i="11"/>
  <c r="AB189" i="11"/>
  <c r="AC189" i="11" s="1"/>
  <c r="AA189" i="11"/>
  <c r="AB190" i="11"/>
  <c r="AC190" i="11" s="1"/>
  <c r="AA190" i="11"/>
  <c r="AB191" i="11"/>
  <c r="AC191" i="11" s="1"/>
  <c r="AA191" i="11"/>
  <c r="AB192" i="11"/>
  <c r="AC192" i="11" s="1"/>
  <c r="AA192" i="11"/>
  <c r="AB193" i="11"/>
  <c r="AC193" i="11" s="1"/>
  <c r="AA193" i="11"/>
  <c r="AB194" i="11"/>
  <c r="AC194" i="11" s="1"/>
  <c r="AA194" i="11"/>
  <c r="AB195" i="11"/>
  <c r="AC195" i="11" s="1"/>
  <c r="AA195" i="11"/>
  <c r="AB196" i="11"/>
  <c r="AC196" i="11" s="1"/>
  <c r="AA196" i="11"/>
  <c r="AB197" i="11"/>
  <c r="AC197" i="11" s="1"/>
  <c r="AA197" i="11"/>
  <c r="AB198" i="11"/>
  <c r="AC198" i="11" s="1"/>
  <c r="AA198" i="11"/>
  <c r="AB199" i="11"/>
  <c r="AC199" i="11" s="1"/>
  <c r="AA199" i="11"/>
  <c r="AB200" i="11"/>
  <c r="AC200" i="11" s="1"/>
  <c r="AA200" i="11"/>
  <c r="AB201" i="11"/>
  <c r="AC201" i="11" s="1"/>
  <c r="AA201" i="11"/>
  <c r="AB202" i="11"/>
  <c r="AC202" i="11" s="1"/>
  <c r="AA202" i="11"/>
  <c r="AB203" i="11"/>
  <c r="AC203" i="11" s="1"/>
  <c r="AA203" i="11"/>
  <c r="AB204" i="11"/>
  <c r="AC204" i="11" s="1"/>
  <c r="AA204" i="11"/>
  <c r="AB205" i="11"/>
  <c r="AC205" i="11" s="1"/>
  <c r="AA205" i="11"/>
  <c r="AB206" i="11"/>
  <c r="AC206" i="11" s="1"/>
  <c r="AA206" i="11"/>
  <c r="AB207" i="11"/>
  <c r="AC207" i="11" s="1"/>
  <c r="AA207" i="11"/>
  <c r="AB208" i="11"/>
  <c r="AC208" i="11" s="1"/>
  <c r="AA208" i="11"/>
  <c r="AB209" i="11"/>
  <c r="AC209" i="11" s="1"/>
  <c r="AA209" i="11"/>
  <c r="AB210" i="11"/>
  <c r="AC210" i="11" s="1"/>
  <c r="AA210" i="11"/>
  <c r="AB211" i="11"/>
  <c r="AC211" i="11" s="1"/>
  <c r="AA211" i="11"/>
  <c r="AB212" i="11"/>
  <c r="AC212" i="11" s="1"/>
  <c r="AA212" i="11"/>
  <c r="AB213" i="11"/>
  <c r="AC213" i="11" s="1"/>
  <c r="AA213" i="11"/>
  <c r="AB214" i="11"/>
  <c r="AC214" i="11" s="1"/>
  <c r="AA214" i="11"/>
  <c r="AB215" i="11"/>
  <c r="AC215" i="11" s="1"/>
  <c r="AA215" i="11"/>
  <c r="AB216" i="11"/>
  <c r="AC216" i="11" s="1"/>
  <c r="AA216" i="11"/>
  <c r="AB217" i="11"/>
  <c r="AC217" i="11" s="1"/>
  <c r="AA217" i="11"/>
  <c r="AB218" i="11"/>
  <c r="AC218" i="11" s="1"/>
  <c r="AA218" i="11"/>
  <c r="AB219" i="11"/>
  <c r="AC219" i="11" s="1"/>
  <c r="AA219" i="11"/>
  <c r="AB220" i="11"/>
  <c r="AC220" i="11" s="1"/>
  <c r="AA220" i="11"/>
  <c r="AB221" i="11"/>
  <c r="AC221" i="11" s="1"/>
  <c r="AA221" i="11"/>
  <c r="AB222" i="11"/>
  <c r="AC222" i="11" s="1"/>
  <c r="AA222" i="11"/>
  <c r="AB223" i="11"/>
  <c r="AC223" i="11" s="1"/>
  <c r="AA223" i="11"/>
  <c r="AB224" i="11"/>
  <c r="AC224" i="11" s="1"/>
  <c r="AA224" i="11"/>
  <c r="AB225" i="11"/>
  <c r="AC225" i="11" s="1"/>
  <c r="AA225" i="11"/>
  <c r="AB226" i="11"/>
  <c r="AC226" i="11" s="1"/>
  <c r="AA226" i="11"/>
  <c r="AB227" i="11"/>
  <c r="AC227" i="11" s="1"/>
  <c r="AA227" i="11"/>
  <c r="AB228" i="11"/>
  <c r="AC228" i="11" s="1"/>
  <c r="AA228" i="11"/>
  <c r="AB229" i="11"/>
  <c r="AC229" i="11" s="1"/>
  <c r="AA229" i="11"/>
  <c r="AB230" i="11"/>
  <c r="AC230" i="11" s="1"/>
  <c r="AA230" i="11"/>
  <c r="AB231" i="11"/>
  <c r="AC231" i="11" s="1"/>
  <c r="AA231" i="11"/>
  <c r="AB232" i="11"/>
  <c r="AC232" i="11" s="1"/>
  <c r="AA232" i="11"/>
  <c r="AB233" i="11"/>
  <c r="AC233" i="11" s="1"/>
  <c r="AA233" i="11"/>
  <c r="AB234" i="11"/>
  <c r="AC234" i="11" s="1"/>
  <c r="AA234" i="11"/>
  <c r="AB235" i="11"/>
  <c r="AC235" i="11" s="1"/>
  <c r="AA235" i="11"/>
  <c r="AB236" i="11"/>
  <c r="AC236" i="11" s="1"/>
  <c r="AA236" i="11"/>
  <c r="AB237" i="11"/>
  <c r="AC237" i="11" s="1"/>
  <c r="AA237" i="11"/>
  <c r="AB238" i="11"/>
  <c r="AC238" i="11" s="1"/>
  <c r="AA238" i="11"/>
  <c r="AB239" i="11"/>
  <c r="AC239" i="11" s="1"/>
  <c r="AA239" i="11"/>
  <c r="AB240" i="11"/>
  <c r="AC240" i="11" s="1"/>
  <c r="AA240" i="11"/>
  <c r="AB241" i="11"/>
  <c r="AC241" i="11" s="1"/>
  <c r="AA241" i="11"/>
  <c r="AB242" i="11"/>
  <c r="AC242" i="11" s="1"/>
  <c r="AA242" i="11"/>
  <c r="AB243" i="11"/>
  <c r="AC243" i="11" s="1"/>
  <c r="AA243" i="11"/>
  <c r="AB244" i="11"/>
  <c r="AC244" i="11" s="1"/>
  <c r="AA244" i="11"/>
  <c r="AB245" i="11"/>
  <c r="AC245" i="11" s="1"/>
  <c r="AA245" i="11"/>
  <c r="AB246" i="11"/>
  <c r="AC246" i="11" s="1"/>
  <c r="AA246" i="11"/>
  <c r="AB247" i="11"/>
  <c r="AC247" i="11" s="1"/>
  <c r="AA247" i="11"/>
  <c r="AB248" i="11"/>
  <c r="AC248" i="11" s="1"/>
  <c r="AA248" i="11"/>
  <c r="AB249" i="11"/>
  <c r="AC249" i="11" s="1"/>
  <c r="AA249" i="11"/>
  <c r="AB250" i="11"/>
  <c r="AC250" i="11" s="1"/>
  <c r="AA250" i="11"/>
  <c r="AB251" i="11"/>
  <c r="AC251" i="11" s="1"/>
  <c r="AA251" i="11"/>
  <c r="AB252" i="11"/>
  <c r="AC252" i="11" s="1"/>
  <c r="AA252" i="11"/>
  <c r="AB253" i="11"/>
  <c r="AC253" i="11" s="1"/>
  <c r="AA253" i="11"/>
  <c r="AB254" i="11"/>
  <c r="AC254" i="11" s="1"/>
  <c r="AA254" i="11"/>
  <c r="AB255" i="11"/>
  <c r="AC255" i="11" s="1"/>
  <c r="AA255" i="11"/>
  <c r="AB256" i="11"/>
  <c r="AC256" i="11" s="1"/>
  <c r="AA256" i="11"/>
  <c r="AB257" i="11"/>
  <c r="AC257" i="11" s="1"/>
  <c r="AA257" i="11"/>
  <c r="AB258" i="11"/>
  <c r="AC258" i="11" s="1"/>
  <c r="AA258" i="11"/>
  <c r="AB259" i="11"/>
  <c r="AC259" i="11" s="1"/>
  <c r="AA259" i="11"/>
  <c r="AB260" i="11"/>
  <c r="AC260" i="11" s="1"/>
  <c r="AA260" i="11"/>
  <c r="AB261" i="11"/>
  <c r="AC261" i="11" s="1"/>
  <c r="AA261" i="11"/>
  <c r="AB262" i="11"/>
  <c r="AC262" i="11" s="1"/>
  <c r="AA262" i="11"/>
  <c r="AB263" i="11"/>
  <c r="AC263" i="11" s="1"/>
  <c r="AA263" i="11"/>
  <c r="AB264" i="11"/>
  <c r="AC264" i="11" s="1"/>
  <c r="AA264" i="11"/>
  <c r="AB265" i="11"/>
  <c r="AC265" i="11" s="1"/>
  <c r="AA265" i="11"/>
  <c r="AB266" i="11"/>
  <c r="AC266" i="11" s="1"/>
  <c r="AA266" i="11"/>
  <c r="AB267" i="11"/>
  <c r="AC267" i="11" s="1"/>
  <c r="AA267" i="11"/>
  <c r="AB268" i="11"/>
  <c r="AC268" i="11" s="1"/>
  <c r="AA268" i="11"/>
  <c r="AB269" i="11"/>
  <c r="AC269" i="11" s="1"/>
  <c r="AA269" i="11"/>
  <c r="AB270" i="11"/>
  <c r="AC270" i="11" s="1"/>
  <c r="AA270" i="11"/>
  <c r="AB271" i="11"/>
  <c r="AC271" i="11" s="1"/>
  <c r="AA271" i="11"/>
  <c r="AB272" i="11"/>
  <c r="AC272" i="11" s="1"/>
  <c r="AA272" i="11"/>
  <c r="AB273" i="11"/>
  <c r="AC273" i="11" s="1"/>
  <c r="AA273" i="11"/>
  <c r="AB274" i="11"/>
  <c r="AC274" i="11" s="1"/>
  <c r="AA274" i="11"/>
  <c r="AB275" i="11"/>
  <c r="AC275" i="11" s="1"/>
  <c r="AA275" i="11"/>
  <c r="AB276" i="11"/>
  <c r="AC276" i="11" s="1"/>
  <c r="AA276" i="11"/>
  <c r="AB277" i="11"/>
  <c r="AC277" i="11" s="1"/>
  <c r="AA277" i="11"/>
  <c r="AB278" i="11"/>
  <c r="AC278" i="11" s="1"/>
  <c r="AA278" i="11"/>
  <c r="AB279" i="11"/>
  <c r="AC279" i="11" s="1"/>
  <c r="AA279" i="11"/>
  <c r="AB280" i="11"/>
  <c r="AC280" i="11" s="1"/>
  <c r="AA280" i="11"/>
  <c r="AB281" i="11"/>
  <c r="AC281" i="11" s="1"/>
  <c r="AA281" i="11"/>
  <c r="AB282" i="11"/>
  <c r="AC282" i="11" s="1"/>
  <c r="AA282" i="11"/>
  <c r="AB283" i="11"/>
  <c r="AC283" i="11" s="1"/>
  <c r="AA283" i="11"/>
  <c r="AB284" i="11"/>
  <c r="AC284" i="11" s="1"/>
  <c r="AA284" i="11"/>
  <c r="AB285" i="11"/>
  <c r="AC285" i="11" s="1"/>
  <c r="AA285" i="11"/>
  <c r="AB286" i="11"/>
  <c r="AC286" i="11" s="1"/>
  <c r="AA286" i="11"/>
  <c r="AB287" i="11"/>
  <c r="AC287" i="11" s="1"/>
  <c r="AA287" i="11"/>
  <c r="AB288" i="11"/>
  <c r="AC288" i="11" s="1"/>
  <c r="AA288" i="11"/>
  <c r="AB289" i="11"/>
  <c r="AC289" i="11" s="1"/>
  <c r="AA289" i="11"/>
  <c r="AB290" i="11"/>
  <c r="AC290" i="11" s="1"/>
  <c r="AA290" i="11"/>
  <c r="AB291" i="11"/>
  <c r="AC291" i="11" s="1"/>
  <c r="AA291" i="11"/>
  <c r="AB292" i="11"/>
  <c r="AC292" i="11" s="1"/>
  <c r="AA292" i="11"/>
  <c r="AB293" i="11"/>
  <c r="AC293" i="11" s="1"/>
  <c r="AA293" i="11"/>
  <c r="AB294" i="11"/>
  <c r="AC294" i="11" s="1"/>
  <c r="AA294" i="11"/>
  <c r="AB295" i="11"/>
  <c r="AC295" i="11" s="1"/>
  <c r="AA295" i="11"/>
  <c r="AB296" i="11"/>
  <c r="AC296" i="11" s="1"/>
  <c r="AA296" i="11"/>
  <c r="AB297" i="11"/>
  <c r="AC297" i="11" s="1"/>
  <c r="AA297" i="11"/>
  <c r="AB298" i="11"/>
  <c r="AC298" i="11" s="1"/>
  <c r="AA298" i="11"/>
  <c r="AB299" i="11"/>
  <c r="AC299" i="11" s="1"/>
  <c r="AA299" i="11"/>
  <c r="AB300" i="11"/>
  <c r="AC300" i="11" s="1"/>
  <c r="AA300" i="11"/>
  <c r="AB301" i="11"/>
  <c r="AC301" i="11" s="1"/>
  <c r="AA301" i="11"/>
  <c r="AB302" i="11"/>
  <c r="AC302" i="11" s="1"/>
  <c r="AA302" i="11"/>
  <c r="AB303" i="11"/>
  <c r="AC303" i="11" s="1"/>
  <c r="AA303" i="11"/>
  <c r="AB304" i="11"/>
  <c r="AC304" i="11" s="1"/>
  <c r="AA304" i="11"/>
  <c r="AB305" i="11"/>
  <c r="AC305" i="11" s="1"/>
  <c r="AA305" i="11"/>
  <c r="AB306" i="11"/>
  <c r="AC306" i="11" s="1"/>
  <c r="AA306" i="11"/>
  <c r="AB307" i="11"/>
  <c r="AC307" i="11" s="1"/>
  <c r="AA307" i="11"/>
  <c r="AB308" i="11"/>
  <c r="AC308" i="11" s="1"/>
  <c r="AA308" i="11"/>
  <c r="AB309" i="11"/>
  <c r="AC309" i="11" s="1"/>
  <c r="AA309" i="11"/>
  <c r="AB310" i="11"/>
  <c r="AC310" i="11" s="1"/>
  <c r="AA310" i="11"/>
  <c r="AB311" i="11"/>
  <c r="AC311" i="11" s="1"/>
  <c r="AA311" i="11"/>
  <c r="AB312" i="11"/>
  <c r="AC312" i="11" s="1"/>
  <c r="AA312" i="11"/>
  <c r="AB313" i="11"/>
  <c r="AC313" i="11" s="1"/>
  <c r="AA313" i="11"/>
  <c r="AB314" i="11"/>
  <c r="AC314" i="11" s="1"/>
  <c r="AA314" i="11"/>
  <c r="AB315" i="11"/>
  <c r="AC315" i="11" s="1"/>
  <c r="AA315" i="11"/>
  <c r="AB316" i="11"/>
  <c r="AC316" i="11" s="1"/>
  <c r="AA316" i="11"/>
  <c r="AB317" i="11"/>
  <c r="AC317" i="11" s="1"/>
  <c r="AA317" i="11"/>
  <c r="AB318" i="11"/>
  <c r="AC318" i="11" s="1"/>
  <c r="AA318" i="11"/>
  <c r="AB319" i="11"/>
  <c r="AC319" i="11" s="1"/>
  <c r="AA319" i="11"/>
  <c r="AB320" i="11"/>
  <c r="AC320" i="11" s="1"/>
  <c r="AA320" i="11"/>
  <c r="AB321" i="11"/>
  <c r="AC321" i="11" s="1"/>
  <c r="AA321" i="11"/>
  <c r="AB322" i="11"/>
  <c r="AC322" i="11" s="1"/>
  <c r="AA322" i="11"/>
  <c r="AB323" i="11"/>
  <c r="AC323" i="11" s="1"/>
  <c r="AA323" i="11"/>
  <c r="AB324" i="11"/>
  <c r="AC324" i="11" s="1"/>
  <c r="AA324" i="11"/>
  <c r="AB325" i="11"/>
  <c r="AC325" i="11" s="1"/>
  <c r="AA325" i="11"/>
  <c r="AB326" i="11"/>
  <c r="AC326" i="11" s="1"/>
  <c r="AA326" i="11"/>
  <c r="AB327" i="11"/>
  <c r="AC327" i="11" s="1"/>
  <c r="AA327" i="11"/>
  <c r="AB328" i="11"/>
  <c r="AC328" i="11" s="1"/>
  <c r="AA328" i="11"/>
  <c r="AB329" i="11"/>
  <c r="AC329" i="11" s="1"/>
  <c r="AA329" i="11"/>
  <c r="AB330" i="11"/>
  <c r="AC330" i="11" s="1"/>
  <c r="AA330" i="11"/>
  <c r="AB331" i="11"/>
  <c r="AC331" i="11" s="1"/>
  <c r="AA331" i="11"/>
  <c r="AB332" i="11"/>
  <c r="AC332" i="11" s="1"/>
  <c r="AA332" i="11"/>
  <c r="AB333" i="11"/>
  <c r="AC333" i="11" s="1"/>
  <c r="AA333" i="11"/>
  <c r="AB334" i="11"/>
  <c r="AC334" i="11" s="1"/>
  <c r="AA334" i="11"/>
  <c r="AB335" i="11"/>
  <c r="AC335" i="11" s="1"/>
  <c r="AA335" i="11"/>
  <c r="AB336" i="11"/>
  <c r="AC336" i="11" s="1"/>
  <c r="AA336" i="11"/>
  <c r="AB337" i="11"/>
  <c r="AC337" i="11" s="1"/>
  <c r="AA337" i="11"/>
  <c r="AB338" i="11"/>
  <c r="AC338" i="11" s="1"/>
  <c r="AA338" i="11"/>
  <c r="AB339" i="11"/>
  <c r="AC339" i="11" s="1"/>
  <c r="AA339" i="11"/>
  <c r="AB340" i="11"/>
  <c r="AC340" i="11" s="1"/>
  <c r="AA340" i="11"/>
  <c r="AB341" i="11"/>
  <c r="AC341" i="11" s="1"/>
  <c r="AA341" i="11"/>
  <c r="AB342" i="11"/>
  <c r="AC342" i="11" s="1"/>
  <c r="AA342" i="11"/>
  <c r="AB343" i="11"/>
  <c r="AC343" i="11" s="1"/>
  <c r="AA343" i="11"/>
  <c r="AB344" i="11"/>
  <c r="AC344" i="11" s="1"/>
  <c r="AA344" i="11"/>
  <c r="AB345" i="11"/>
  <c r="AC345" i="11" s="1"/>
  <c r="AA345" i="11"/>
  <c r="AB346" i="11"/>
  <c r="AC346" i="11" s="1"/>
  <c r="AA346" i="11"/>
  <c r="AB347" i="11"/>
  <c r="AC347" i="11" s="1"/>
  <c r="AA347" i="11"/>
  <c r="AB348" i="11"/>
  <c r="AC348" i="11" s="1"/>
  <c r="AA348" i="11"/>
  <c r="AB349" i="11"/>
  <c r="AC349" i="11" s="1"/>
  <c r="AA349" i="11"/>
  <c r="AB350" i="11"/>
  <c r="AC350" i="11" s="1"/>
  <c r="AA350" i="11"/>
  <c r="AB351" i="11"/>
  <c r="AC351" i="11" s="1"/>
  <c r="AA351" i="11"/>
  <c r="AB352" i="11"/>
  <c r="AC352" i="11" s="1"/>
  <c r="AA352" i="11"/>
  <c r="AB353" i="11"/>
  <c r="AC353" i="11" s="1"/>
  <c r="AA353" i="11"/>
  <c r="AB354" i="11"/>
  <c r="AC354" i="11" s="1"/>
  <c r="AA354" i="11"/>
  <c r="AB355" i="11"/>
  <c r="AC355" i="11" s="1"/>
  <c r="AA355" i="11"/>
  <c r="AB356" i="11"/>
  <c r="AC356" i="11" s="1"/>
  <c r="AA356" i="11"/>
  <c r="AB357" i="11"/>
  <c r="AC357" i="11" s="1"/>
  <c r="AA357" i="11"/>
  <c r="AB358" i="11"/>
  <c r="AC358" i="11" s="1"/>
  <c r="AA358" i="11"/>
  <c r="AB359" i="11"/>
  <c r="AC359" i="11" s="1"/>
  <c r="AA359" i="11"/>
  <c r="AB360" i="11"/>
  <c r="AC360" i="11" s="1"/>
  <c r="AA360" i="11"/>
  <c r="AB361" i="11"/>
  <c r="AC361" i="11" s="1"/>
  <c r="AA361" i="11"/>
  <c r="AB362" i="11"/>
  <c r="AC362" i="11" s="1"/>
  <c r="AA362" i="11"/>
  <c r="AB363" i="11"/>
  <c r="AC363" i="11" s="1"/>
  <c r="AA363" i="11"/>
  <c r="AB364" i="11"/>
  <c r="AC364" i="11" s="1"/>
  <c r="AA364" i="11"/>
  <c r="AB365" i="11"/>
  <c r="AC365" i="11" s="1"/>
  <c r="AA365" i="11"/>
  <c r="AB366" i="11"/>
  <c r="AC366" i="11" s="1"/>
  <c r="AA366" i="11"/>
  <c r="AB367" i="11"/>
  <c r="AC367" i="11" s="1"/>
  <c r="AA367" i="11"/>
  <c r="AB368" i="11"/>
  <c r="AC368" i="11" s="1"/>
  <c r="AA368" i="11"/>
  <c r="AB369" i="11"/>
  <c r="AC369" i="11" s="1"/>
  <c r="AA369" i="11"/>
  <c r="AB370" i="11"/>
  <c r="AC370" i="11" s="1"/>
  <c r="AA370" i="11"/>
  <c r="AB371" i="11"/>
  <c r="AC371" i="11" s="1"/>
  <c r="AA371" i="11"/>
  <c r="AB372" i="11"/>
  <c r="AC372" i="11" s="1"/>
  <c r="AA372" i="11"/>
  <c r="AB373" i="11"/>
  <c r="AC373" i="11" s="1"/>
  <c r="AA373" i="11"/>
  <c r="AB374" i="11"/>
  <c r="AC374" i="11" s="1"/>
  <c r="AA374" i="11"/>
  <c r="AB375" i="11"/>
  <c r="AC375" i="11" s="1"/>
  <c r="AA375" i="11"/>
  <c r="AB376" i="11"/>
  <c r="AC376" i="11" s="1"/>
  <c r="AA376" i="11"/>
  <c r="AB377" i="11"/>
  <c r="AC377" i="11" s="1"/>
  <c r="AA377" i="11"/>
  <c r="AB378" i="11"/>
  <c r="AC378" i="11" s="1"/>
  <c r="AA378" i="11"/>
  <c r="AB379" i="11"/>
  <c r="AC379" i="11" s="1"/>
  <c r="AA379" i="11"/>
  <c r="AB380" i="11"/>
  <c r="AC380" i="11" s="1"/>
  <c r="AA380" i="11"/>
  <c r="AB381" i="11"/>
  <c r="AC381" i="11" s="1"/>
  <c r="AA381" i="11"/>
  <c r="AB382" i="11"/>
  <c r="AC382" i="11" s="1"/>
  <c r="AA382" i="11"/>
  <c r="AB383" i="11"/>
  <c r="AC383" i="11" s="1"/>
  <c r="AA383" i="11"/>
  <c r="AB384" i="11"/>
  <c r="AC384" i="11" s="1"/>
  <c r="AA384" i="11"/>
  <c r="AB385" i="11"/>
  <c r="AC385" i="11" s="1"/>
  <c r="AA385" i="11"/>
  <c r="AB386" i="11"/>
  <c r="AC386" i="11" s="1"/>
  <c r="AA386" i="11"/>
  <c r="AB387" i="11"/>
  <c r="AC387" i="11" s="1"/>
  <c r="AA387" i="11"/>
  <c r="AB388" i="11"/>
  <c r="AC388" i="11" s="1"/>
  <c r="AA388" i="11"/>
  <c r="AB389" i="11"/>
  <c r="AC389" i="11" s="1"/>
  <c r="AA389" i="11"/>
  <c r="AB390" i="11"/>
  <c r="AC390" i="11" s="1"/>
  <c r="AA390" i="11"/>
  <c r="AB391" i="11"/>
  <c r="AC391" i="11" s="1"/>
  <c r="AA391" i="11"/>
  <c r="AB392" i="11"/>
  <c r="AC392" i="11" s="1"/>
  <c r="AA392" i="11"/>
  <c r="AB393" i="11"/>
  <c r="AC393" i="11" s="1"/>
  <c r="AA393" i="11"/>
  <c r="AB394" i="11"/>
  <c r="AC394" i="11" s="1"/>
  <c r="AA394" i="11"/>
  <c r="AB395" i="11"/>
  <c r="AC395" i="11" s="1"/>
  <c r="AA395" i="11"/>
  <c r="AB396" i="11"/>
  <c r="AC396" i="11" s="1"/>
  <c r="AA396" i="11"/>
  <c r="AB397" i="11"/>
  <c r="AC397" i="11" s="1"/>
  <c r="AA397" i="11"/>
  <c r="AB398" i="11"/>
  <c r="AC398" i="11" s="1"/>
  <c r="AA398" i="11"/>
  <c r="AB399" i="11"/>
  <c r="AC399" i="11" s="1"/>
  <c r="AA399" i="11"/>
  <c r="AB400" i="11"/>
  <c r="AC400" i="11" s="1"/>
  <c r="AA400" i="11"/>
  <c r="AB401" i="11"/>
  <c r="AC401" i="11" s="1"/>
  <c r="AA401" i="11"/>
  <c r="AB402" i="11"/>
  <c r="AC402" i="11" s="1"/>
  <c r="AA402" i="11"/>
  <c r="AB403" i="11"/>
  <c r="AC403" i="11" s="1"/>
  <c r="AA403" i="11"/>
  <c r="AB404" i="11"/>
  <c r="AC404" i="11" s="1"/>
  <c r="AA404" i="11"/>
  <c r="AB405" i="11"/>
  <c r="AC405" i="11" s="1"/>
  <c r="AA405" i="11"/>
  <c r="AB406" i="11"/>
  <c r="AC406" i="11" s="1"/>
  <c r="AA406" i="11"/>
  <c r="AB407" i="11"/>
  <c r="AC407" i="11" s="1"/>
  <c r="AA407" i="11"/>
  <c r="AB408" i="11"/>
  <c r="AC408" i="11" s="1"/>
  <c r="AA408" i="11"/>
  <c r="AB409" i="11"/>
  <c r="AC409" i="11" s="1"/>
  <c r="AA409" i="11"/>
  <c r="AB410" i="11"/>
  <c r="AC410" i="11" s="1"/>
  <c r="AA410" i="11"/>
  <c r="AB411" i="11"/>
  <c r="AC411" i="11" s="1"/>
  <c r="AA411" i="11"/>
  <c r="AB412" i="11"/>
  <c r="AC412" i="11" s="1"/>
  <c r="AA412" i="11"/>
  <c r="AB413" i="11"/>
  <c r="AC413" i="11" s="1"/>
  <c r="AA413" i="11"/>
  <c r="AB414" i="11"/>
  <c r="AC414" i="11" s="1"/>
  <c r="AA414" i="11"/>
  <c r="AB415" i="11"/>
  <c r="AC415" i="11" s="1"/>
  <c r="AA415" i="11"/>
  <c r="AB416" i="11"/>
  <c r="AC416" i="11" s="1"/>
  <c r="AA416" i="11"/>
  <c r="AB417" i="11"/>
  <c r="AC417" i="11" s="1"/>
  <c r="AA417" i="11"/>
  <c r="AB418" i="11"/>
  <c r="AC418" i="11" s="1"/>
  <c r="AA418" i="11"/>
  <c r="AB419" i="11"/>
  <c r="AC419" i="11" s="1"/>
  <c r="AA419" i="11"/>
  <c r="AB420" i="11"/>
  <c r="AC420" i="11" s="1"/>
  <c r="AA420" i="11"/>
  <c r="AB421" i="11"/>
  <c r="AC421" i="11" s="1"/>
  <c r="AA421" i="11"/>
  <c r="AB422" i="11"/>
  <c r="AC422" i="11" s="1"/>
  <c r="AA422" i="11"/>
  <c r="AB423" i="11"/>
  <c r="AC423" i="11" s="1"/>
  <c r="AA423" i="11"/>
  <c r="AB424" i="11"/>
  <c r="AC424" i="11" s="1"/>
  <c r="AA424" i="11"/>
  <c r="AB425" i="11"/>
  <c r="AC425" i="11" s="1"/>
  <c r="AA425" i="11"/>
  <c r="AB426" i="11"/>
  <c r="AC426" i="11" s="1"/>
  <c r="AA426" i="11"/>
  <c r="AB427" i="11"/>
  <c r="AC427" i="11" s="1"/>
  <c r="AA427" i="11"/>
  <c r="AB428" i="11"/>
  <c r="AC428" i="11" s="1"/>
  <c r="AA428" i="11"/>
  <c r="AB429" i="11"/>
  <c r="AC429" i="11" s="1"/>
  <c r="AA429" i="11"/>
  <c r="AB430" i="11"/>
  <c r="AC430" i="11" s="1"/>
  <c r="AA430" i="11"/>
  <c r="AB431" i="11"/>
  <c r="AC431" i="11" s="1"/>
  <c r="AA431" i="11"/>
  <c r="AB432" i="11"/>
  <c r="AC432" i="11" s="1"/>
  <c r="AA432" i="11"/>
  <c r="AB433" i="11"/>
  <c r="AC433" i="11" s="1"/>
  <c r="AA433" i="11"/>
  <c r="AB434" i="11"/>
  <c r="AC434" i="11" s="1"/>
  <c r="AA434" i="11"/>
  <c r="AB435" i="11"/>
  <c r="AC435" i="11" s="1"/>
  <c r="AA435" i="11"/>
  <c r="AB436" i="11"/>
  <c r="AC436" i="11" s="1"/>
  <c r="AA436" i="11"/>
  <c r="AB437" i="11"/>
  <c r="AC437" i="11" s="1"/>
  <c r="AA437" i="11"/>
  <c r="AB438" i="11"/>
  <c r="AC438" i="11" s="1"/>
  <c r="AA438" i="11"/>
  <c r="AB439" i="11"/>
  <c r="AC439" i="11" s="1"/>
  <c r="AA439" i="11"/>
  <c r="AB440" i="11"/>
  <c r="AC440" i="11" s="1"/>
  <c r="AA440" i="11"/>
  <c r="AB441" i="11"/>
  <c r="AC441" i="11" s="1"/>
  <c r="AA441" i="11"/>
  <c r="A107" i="11" l="1" a="1"/>
  <c r="A107" i="11" s="1"/>
  <c r="B107" i="11" a="1"/>
  <c r="B107" i="11" s="1"/>
  <c r="B108" i="11" a="1"/>
  <c r="B108" i="11" s="1"/>
  <c r="B119" i="11" a="1"/>
  <c r="B119" i="11" s="1"/>
  <c r="A119" i="11" a="1"/>
  <c r="A119" i="11" s="1"/>
  <c r="A108" i="11" a="1"/>
  <c r="A108" i="11" s="1"/>
  <c r="B114" i="11" a="1"/>
  <c r="B114" i="11" s="1"/>
  <c r="A114" i="11" a="1"/>
  <c r="A114" i="11" s="1"/>
  <c r="AC173" i="11"/>
  <c r="AC171" i="11"/>
  <c r="AC169" i="11"/>
  <c r="AC167" i="11"/>
  <c r="AC165" i="11"/>
  <c r="AC163" i="11"/>
  <c r="AC161" i="11"/>
  <c r="AC159" i="11"/>
  <c r="AC157" i="11"/>
  <c r="AC155" i="11"/>
  <c r="AC153" i="11"/>
  <c r="AC151" i="11"/>
  <c r="AC149" i="11"/>
  <c r="AC147" i="11"/>
  <c r="AC145" i="11"/>
  <c r="AC143" i="11"/>
  <c r="AC141" i="11"/>
  <c r="AC139" i="11"/>
  <c r="AC137" i="11"/>
  <c r="AC135" i="11"/>
  <c r="AC133" i="11"/>
  <c r="AC131" i="11"/>
  <c r="AC129" i="11"/>
  <c r="AC127" i="11"/>
  <c r="AC125" i="11"/>
  <c r="AC123" i="11"/>
  <c r="AC121" i="11"/>
  <c r="AC119" i="11"/>
  <c r="AC117" i="11"/>
  <c r="AC115" i="11"/>
  <c r="AC113" i="11"/>
  <c r="AC111" i="11"/>
  <c r="AC109" i="11"/>
  <c r="AC107" i="11"/>
  <c r="AC105" i="11"/>
  <c r="AC103" i="11"/>
  <c r="AC101" i="11"/>
  <c r="AC99" i="11"/>
  <c r="AC97" i="11"/>
  <c r="AC95" i="11"/>
  <c r="AC93" i="11"/>
  <c r="AC91" i="11"/>
  <c r="AC89" i="11"/>
  <c r="AC87" i="11"/>
  <c r="AC85" i="11"/>
  <c r="AC83" i="11"/>
  <c r="AC81" i="11"/>
  <c r="AC79" i="11"/>
  <c r="AC77" i="11"/>
  <c r="AC75" i="11"/>
  <c r="AC73" i="11"/>
  <c r="AC71" i="11"/>
  <c r="AC69" i="11"/>
  <c r="AC67" i="11"/>
  <c r="AC65" i="11"/>
  <c r="AC63" i="11"/>
  <c r="AC61" i="11"/>
  <c r="AC59" i="11"/>
  <c r="AC57" i="11"/>
  <c r="AC55" i="11"/>
  <c r="AC53" i="11"/>
  <c r="AC51" i="11"/>
  <c r="AC49" i="11"/>
  <c r="AC47" i="11"/>
  <c r="AC45" i="11"/>
  <c r="AC43" i="11"/>
  <c r="AC41" i="11"/>
  <c r="AC39" i="11"/>
  <c r="AC37" i="11"/>
  <c r="AC35" i="11"/>
  <c r="AC33" i="11"/>
  <c r="AC31" i="11"/>
  <c r="AC29" i="11"/>
  <c r="AC25" i="11"/>
  <c r="AC21" i="11"/>
  <c r="AC17" i="11"/>
  <c r="Z441" i="11" a="1"/>
  <c r="Z441" i="11" s="1"/>
  <c r="Z439" i="11" a="1"/>
  <c r="Z439" i="11" s="1"/>
  <c r="Z437" i="11" a="1"/>
  <c r="Z437" i="11" s="1"/>
  <c r="Z435" i="11" a="1"/>
  <c r="Z435" i="11" s="1"/>
  <c r="Z433" i="11" a="1"/>
  <c r="Z433" i="11" s="1"/>
  <c r="Z431" i="11" a="1"/>
  <c r="Z431" i="11" s="1"/>
  <c r="Z429" i="11" a="1"/>
  <c r="Z429" i="11" s="1"/>
  <c r="Z427" i="11" a="1"/>
  <c r="Z427" i="11" s="1"/>
  <c r="Z425" i="11" a="1"/>
  <c r="Z425" i="11" s="1"/>
  <c r="Z423" i="11" a="1"/>
  <c r="Z423" i="11" s="1"/>
  <c r="Z421" i="11" a="1"/>
  <c r="Z421" i="11" s="1"/>
  <c r="Z419" i="11" a="1"/>
  <c r="Z419" i="11" s="1"/>
  <c r="Z417" i="11" a="1"/>
  <c r="Z417" i="11" s="1"/>
  <c r="Z415" i="11" a="1"/>
  <c r="Z415" i="11" s="1"/>
  <c r="Z413" i="11" a="1"/>
  <c r="Z413" i="11" s="1"/>
  <c r="Z411" i="11" a="1"/>
  <c r="Z411" i="11" s="1"/>
  <c r="Z409" i="11" a="1"/>
  <c r="Z409" i="11" s="1"/>
  <c r="Z407" i="11" a="1"/>
  <c r="Z407" i="11" s="1"/>
  <c r="Z405" i="11" a="1"/>
  <c r="Z405" i="11" s="1"/>
  <c r="Z403" i="11" a="1"/>
  <c r="Z403" i="11" s="1"/>
  <c r="Z401" i="11" a="1"/>
  <c r="Z401" i="11" s="1"/>
  <c r="Z399" i="11" a="1"/>
  <c r="Z399" i="11" s="1"/>
  <c r="Z397" i="11" a="1"/>
  <c r="Z397" i="11" s="1"/>
  <c r="Z395" i="11" a="1"/>
  <c r="Z395" i="11" s="1"/>
  <c r="Z393" i="11" a="1"/>
  <c r="Z393" i="11" s="1"/>
  <c r="Z391" i="11" a="1"/>
  <c r="Z391" i="11" s="1"/>
  <c r="Z389" i="11" a="1"/>
  <c r="Z389" i="11" s="1"/>
  <c r="Z387" i="11" a="1"/>
  <c r="Z387" i="11" s="1"/>
  <c r="Z385" i="11" a="1"/>
  <c r="Z385" i="11" s="1"/>
  <c r="Z383" i="11" a="1"/>
  <c r="Z383" i="11" s="1"/>
  <c r="Z381" i="11" a="1"/>
  <c r="Z381" i="11" s="1"/>
  <c r="Z379" i="11" a="1"/>
  <c r="Z379" i="11" s="1"/>
  <c r="Z377" i="11" a="1"/>
  <c r="Z377" i="11" s="1"/>
  <c r="Z375" i="11" a="1"/>
  <c r="Z375" i="11" s="1"/>
  <c r="Z373" i="11" a="1"/>
  <c r="Z373" i="11" s="1"/>
  <c r="Z371" i="11" a="1"/>
  <c r="Z371" i="11" s="1"/>
  <c r="Z369" i="11" a="1"/>
  <c r="Z369" i="11" s="1"/>
  <c r="Z367" i="11" a="1"/>
  <c r="Z367" i="11" s="1"/>
  <c r="Z365" i="11" a="1"/>
  <c r="Z365" i="11" s="1"/>
  <c r="Z363" i="11" a="1"/>
  <c r="Z363" i="11" s="1"/>
  <c r="Z361" i="11" a="1"/>
  <c r="Z361" i="11" s="1"/>
  <c r="Z359" i="11" a="1"/>
  <c r="Z359" i="11" s="1"/>
  <c r="Z357" i="11" a="1"/>
  <c r="Z357" i="11" s="1"/>
  <c r="Z355" i="11" a="1"/>
  <c r="Z355" i="11" s="1"/>
  <c r="Z353" i="11" a="1"/>
  <c r="Z353" i="11" s="1"/>
  <c r="Z351" i="11" a="1"/>
  <c r="Z351" i="11" s="1"/>
  <c r="Z349" i="11" a="1"/>
  <c r="Z349" i="11" s="1"/>
  <c r="Z347" i="11" a="1"/>
  <c r="Z347" i="11" s="1"/>
  <c r="Z345" i="11" a="1"/>
  <c r="Z345" i="11" s="1"/>
  <c r="Z343" i="11" a="1"/>
  <c r="Z343" i="11" s="1"/>
  <c r="Z341" i="11" a="1"/>
  <c r="Z341" i="11" s="1"/>
  <c r="Z339" i="11" a="1"/>
  <c r="Z339" i="11" s="1"/>
  <c r="Z337" i="11" a="1"/>
  <c r="Z337" i="11" s="1"/>
  <c r="Z335" i="11" a="1"/>
  <c r="Z335" i="11" s="1"/>
  <c r="Z333" i="11" a="1"/>
  <c r="Z333" i="11" s="1"/>
  <c r="Z331" i="11" a="1"/>
  <c r="Z331" i="11" s="1"/>
  <c r="Z329" i="11" a="1"/>
  <c r="Z329" i="11" s="1"/>
  <c r="Z327" i="11" a="1"/>
  <c r="Z327" i="11" s="1"/>
  <c r="Z325" i="11" a="1"/>
  <c r="Z325" i="11" s="1"/>
  <c r="Z323" i="11" a="1"/>
  <c r="Z323" i="11" s="1"/>
  <c r="Z321" i="11" a="1"/>
  <c r="Z321" i="11" s="1"/>
  <c r="Z319" i="11" a="1"/>
  <c r="Z319" i="11" s="1"/>
  <c r="Z317" i="11" a="1"/>
  <c r="Z317" i="11" s="1"/>
  <c r="Z315" i="11" a="1"/>
  <c r="Z315" i="11" s="1"/>
  <c r="Z313" i="11" a="1"/>
  <c r="Z313" i="11" s="1"/>
  <c r="Z311" i="11" a="1"/>
  <c r="Z311" i="11" s="1"/>
  <c r="Z309" i="11" a="1"/>
  <c r="Z309" i="11" s="1"/>
  <c r="Z307" i="11" a="1"/>
  <c r="Z307" i="11" s="1"/>
  <c r="Z305" i="11" a="1"/>
  <c r="Z305" i="11" s="1"/>
  <c r="Z303" i="11" a="1"/>
  <c r="Z303" i="11" s="1"/>
  <c r="Z301" i="11" a="1"/>
  <c r="Z301" i="11" s="1"/>
  <c r="Z299" i="11" a="1"/>
  <c r="Z299" i="11" s="1"/>
  <c r="Z297" i="11" a="1"/>
  <c r="Z297" i="11" s="1"/>
  <c r="Z295" i="11" a="1"/>
  <c r="Z295" i="11" s="1"/>
  <c r="Z293" i="11" a="1"/>
  <c r="Z293" i="11" s="1"/>
  <c r="Z291" i="11" a="1"/>
  <c r="Z291" i="11" s="1"/>
  <c r="Z289" i="11" a="1"/>
  <c r="Z289" i="11" s="1"/>
  <c r="Z287" i="11" a="1"/>
  <c r="Z287" i="11" s="1"/>
  <c r="Z285" i="11" a="1"/>
  <c r="Z285" i="11" s="1"/>
  <c r="Z283" i="11" a="1"/>
  <c r="Z283" i="11" s="1"/>
  <c r="Z281" i="11" a="1"/>
  <c r="Z281" i="11" s="1"/>
  <c r="Z279" i="11" a="1"/>
  <c r="Z279" i="11" s="1"/>
  <c r="Z277" i="11" a="1"/>
  <c r="Z277" i="11" s="1"/>
  <c r="Z275" i="11" a="1"/>
  <c r="Z275" i="11" s="1"/>
  <c r="Z273" i="11" a="1"/>
  <c r="Z273" i="11" s="1"/>
  <c r="Z271" i="11" a="1"/>
  <c r="Z271" i="11" s="1"/>
  <c r="Z269" i="11" a="1"/>
  <c r="Z269" i="11" s="1"/>
  <c r="Z267" i="11" a="1"/>
  <c r="Z267" i="11" s="1"/>
  <c r="AC27" i="11"/>
  <c r="AC23" i="11"/>
  <c r="AC19" i="11"/>
  <c r="AC12" i="11"/>
  <c r="AC8" i="11"/>
  <c r="AC4" i="11"/>
  <c r="Z412" i="11" a="1"/>
  <c r="Z412" i="11" s="1"/>
  <c r="Z396" i="11" a="1"/>
  <c r="Z396" i="11" s="1"/>
  <c r="Z380" i="11" a="1"/>
  <c r="Z380" i="11" s="1"/>
  <c r="Z364" i="11" a="1"/>
  <c r="Z364" i="11" s="1"/>
  <c r="Z348" i="11" a="1"/>
  <c r="Z348" i="11" s="1"/>
  <c r="Z308" i="11" a="1"/>
  <c r="Z308" i="11" s="1"/>
  <c r="Z244" i="11" a="1"/>
  <c r="Z244" i="11" s="1"/>
  <c r="Z14" i="11" a="1"/>
  <c r="Z14" i="11" s="1"/>
  <c r="Z12" i="11" a="1"/>
  <c r="Z12" i="11" s="1"/>
  <c r="Z10" i="11" a="1"/>
  <c r="Z10" i="11" s="1"/>
  <c r="Z8" i="11" a="1"/>
  <c r="Z8" i="11" s="1"/>
  <c r="Z6" i="11" a="1"/>
  <c r="Z6" i="11" s="1"/>
  <c r="Z4" i="11" a="1"/>
  <c r="Z4" i="11" s="1"/>
  <c r="Z2" i="11" a="1"/>
  <c r="Z2" i="11" s="1"/>
  <c r="Z15" i="11" a="1"/>
  <c r="Z15" i="11" s="1"/>
  <c r="Z148" i="11" a="1"/>
  <c r="Z148" i="11" s="1"/>
  <c r="Z52" i="11" a="1"/>
  <c r="Z52" i="11" s="1"/>
  <c r="Z20" i="11" a="1"/>
  <c r="Z20" i="11" s="1"/>
  <c r="Z13" i="11" a="1"/>
  <c r="Z13" i="11" s="1"/>
  <c r="Z11" i="11" a="1"/>
  <c r="Z11" i="11" s="1"/>
  <c r="Z9" i="11" a="1"/>
  <c r="Z9" i="11" s="1"/>
  <c r="Z7" i="11" a="1"/>
  <c r="Z7" i="11" s="1"/>
  <c r="Z5" i="11" a="1"/>
  <c r="Z5" i="11" s="1"/>
  <c r="Z3" i="11" a="1"/>
  <c r="Z3" i="11" s="1"/>
  <c r="Z1" i="11" a="1"/>
  <c r="Z1" i="11" s="1"/>
  <c r="Z265" i="11" a="1"/>
  <c r="Z265" i="11" s="1"/>
  <c r="Z263" i="11" a="1"/>
  <c r="Z263" i="11" s="1"/>
  <c r="Z261" i="11" a="1"/>
  <c r="Z261" i="11" s="1"/>
  <c r="Z259" i="11" a="1"/>
  <c r="Z259" i="11" s="1"/>
  <c r="Z257" i="11" a="1"/>
  <c r="Z257" i="11" s="1"/>
  <c r="Z255" i="11" a="1"/>
  <c r="Z255" i="11" s="1"/>
  <c r="Z253" i="11" a="1"/>
  <c r="Z253" i="11" s="1"/>
  <c r="Z251" i="11" a="1"/>
  <c r="Z251" i="11" s="1"/>
  <c r="Z249" i="11" a="1"/>
  <c r="Z249" i="11" s="1"/>
  <c r="Z247" i="11" a="1"/>
  <c r="Z247" i="11" s="1"/>
  <c r="Z245" i="11" a="1"/>
  <c r="Z245" i="11" s="1"/>
  <c r="Z243" i="11" a="1"/>
  <c r="Z243" i="11" s="1"/>
  <c r="Z241" i="11" a="1"/>
  <c r="Z241" i="11" s="1"/>
  <c r="Z239" i="11" a="1"/>
  <c r="Z239" i="11" s="1"/>
  <c r="Z237" i="11" a="1"/>
  <c r="Z237" i="11" s="1"/>
  <c r="Z235" i="11" a="1"/>
  <c r="Z235" i="11" s="1"/>
  <c r="Z233" i="11" a="1"/>
  <c r="Z233" i="11" s="1"/>
  <c r="Z231" i="11" a="1"/>
  <c r="Z231" i="11" s="1"/>
  <c r="Z229" i="11" a="1"/>
  <c r="Z229" i="11" s="1"/>
  <c r="Z227" i="11" a="1"/>
  <c r="Z227" i="11" s="1"/>
  <c r="Z225" i="11" a="1"/>
  <c r="Z225" i="11" s="1"/>
  <c r="Z221" i="11" a="1"/>
  <c r="Z221" i="11" s="1"/>
  <c r="Z219" i="11" a="1"/>
  <c r="Z219" i="11" s="1"/>
  <c r="Z217" i="11" a="1"/>
  <c r="Z217" i="11" s="1"/>
  <c r="Z215" i="11" a="1"/>
  <c r="Z215" i="11" s="1"/>
  <c r="Z213" i="11" a="1"/>
  <c r="Z213" i="11" s="1"/>
  <c r="Z211" i="11" a="1"/>
  <c r="Z211" i="11" s="1"/>
  <c r="Z209" i="11" a="1"/>
  <c r="Z209" i="11" s="1"/>
  <c r="Z207" i="11" a="1"/>
  <c r="Z207" i="11" s="1"/>
  <c r="Z205" i="11" a="1"/>
  <c r="Z205" i="11" s="1"/>
  <c r="Z203" i="11" a="1"/>
  <c r="Z203" i="11" s="1"/>
  <c r="Z201" i="11" a="1"/>
  <c r="Z201" i="11" s="1"/>
  <c r="Z199" i="11" a="1"/>
  <c r="Z199" i="11" s="1"/>
  <c r="Z197" i="11" a="1"/>
  <c r="Z197" i="11" s="1"/>
  <c r="Z195" i="11" a="1"/>
  <c r="Z195" i="11" s="1"/>
  <c r="Z193" i="11" a="1"/>
  <c r="Z193" i="11" s="1"/>
  <c r="Z189" i="11" a="1"/>
  <c r="Z189" i="11" s="1"/>
  <c r="Z187" i="11" a="1"/>
  <c r="Z187" i="11" s="1"/>
  <c r="Z185" i="11" a="1"/>
  <c r="Z185" i="11" s="1"/>
  <c r="Z183" i="11" a="1"/>
  <c r="Z183" i="11" s="1"/>
  <c r="Z181" i="11" a="1"/>
  <c r="Z181" i="11" s="1"/>
  <c r="Z179" i="11" a="1"/>
  <c r="Z179" i="11" s="1"/>
  <c r="Z177" i="11" a="1"/>
  <c r="Z177" i="11" s="1"/>
  <c r="Z175" i="11" a="1"/>
  <c r="Z175" i="11" s="1"/>
  <c r="Z173" i="11" a="1"/>
  <c r="Z173" i="11" s="1"/>
  <c r="Z171" i="11" a="1"/>
  <c r="Z171" i="11" s="1"/>
  <c r="Z169" i="11" a="1"/>
  <c r="Z169" i="11" s="1"/>
  <c r="Z167" i="11" a="1"/>
  <c r="Z167" i="11" s="1"/>
  <c r="Z165" i="11" a="1"/>
  <c r="Z165" i="11" s="1"/>
  <c r="Z163" i="11" a="1"/>
  <c r="Z163" i="11" s="1"/>
  <c r="Z161" i="11" a="1"/>
  <c r="Z161" i="11" s="1"/>
  <c r="Z157" i="11" a="1"/>
  <c r="Z157" i="11" s="1"/>
  <c r="Z155" i="11" a="1"/>
  <c r="Z155" i="11" s="1"/>
  <c r="Z153" i="11" a="1"/>
  <c r="Z153" i="11" s="1"/>
  <c r="Z151" i="11" a="1"/>
  <c r="Z151" i="11" s="1"/>
  <c r="Z149" i="11" a="1"/>
  <c r="Z149" i="11" s="1"/>
  <c r="Z147" i="11" a="1"/>
  <c r="Z147" i="11" s="1"/>
  <c r="Z145" i="11" a="1"/>
  <c r="Z145" i="11" s="1"/>
  <c r="Z416" i="11" a="1"/>
  <c r="Z416" i="11" s="1"/>
  <c r="Z400" i="11" a="1"/>
  <c r="Z400" i="11" s="1"/>
  <c r="Z384" i="11" a="1"/>
  <c r="Z384" i="11" s="1"/>
  <c r="Z352" i="11" a="1"/>
  <c r="Z352" i="11" s="1"/>
  <c r="Z336" i="11" a="1"/>
  <c r="Z336" i="11" s="1"/>
  <c r="Z320" i="11" a="1"/>
  <c r="Z320" i="11" s="1"/>
  <c r="Z288" i="11" a="1"/>
  <c r="Z288" i="11" s="1"/>
  <c r="Z272" i="11" a="1"/>
  <c r="Z272" i="11" s="1"/>
  <c r="Z256" i="11" a="1"/>
  <c r="Z256" i="11" s="1"/>
  <c r="Z224" i="11" a="1"/>
  <c r="Z224" i="11" s="1"/>
  <c r="Z208" i="11" a="1"/>
  <c r="Z208" i="11" s="1"/>
  <c r="Z192" i="11" a="1"/>
  <c r="Z192" i="11" s="1"/>
  <c r="Z160" i="11" a="1"/>
  <c r="Z160" i="11" s="1"/>
  <c r="Z144" i="11" a="1"/>
  <c r="Z144" i="11" s="1"/>
  <c r="Z128" i="11" a="1"/>
  <c r="Z128" i="11" s="1"/>
  <c r="Z120" i="11" a="1"/>
  <c r="Z120" i="11" s="1"/>
  <c r="Z116" i="11" a="1"/>
  <c r="Z116" i="11" s="1"/>
  <c r="Z112" i="11" a="1"/>
  <c r="Z112" i="11" s="1"/>
  <c r="Z104" i="11" a="1"/>
  <c r="Z104" i="11" s="1"/>
  <c r="Z100" i="11" a="1"/>
  <c r="Z100" i="11" s="1"/>
  <c r="Z96" i="11" a="1"/>
  <c r="Z96" i="11" s="1"/>
  <c r="Z92" i="11" a="1"/>
  <c r="Z92" i="11" s="1"/>
  <c r="Z88" i="11" a="1"/>
  <c r="Z88" i="11" s="1"/>
  <c r="Z80" i="11" a="1"/>
  <c r="Z80" i="11" s="1"/>
  <c r="Z76" i="11" a="1"/>
  <c r="Z76" i="11" s="1"/>
  <c r="Z68" i="11" a="1"/>
  <c r="Z68" i="11" s="1"/>
  <c r="Z64" i="11" a="1"/>
  <c r="Z64" i="11" s="1"/>
  <c r="Z60" i="11" a="1"/>
  <c r="Z60" i="11" s="1"/>
  <c r="Z56" i="11" a="1"/>
  <c r="Z56" i="11" s="1"/>
  <c r="Z48" i="11" a="1"/>
  <c r="Z48" i="11" s="1"/>
  <c r="Z44" i="11" a="1"/>
  <c r="Z44" i="11" s="1"/>
  <c r="Z36" i="11" a="1"/>
  <c r="Z36" i="11" s="1"/>
  <c r="Z32" i="11" a="1"/>
  <c r="Z32" i="11" s="1"/>
  <c r="Z28" i="11" a="1"/>
  <c r="Z28" i="11" s="1"/>
  <c r="Z24" i="11" a="1"/>
  <c r="Z24" i="11" s="1"/>
  <c r="Z16" i="11" a="1"/>
  <c r="Z16" i="11" s="1"/>
  <c r="Z143" i="11" a="1"/>
  <c r="Z143" i="11" s="1"/>
  <c r="Z141" i="11" a="1"/>
  <c r="Z141" i="11" s="1"/>
  <c r="Z139" i="11" a="1"/>
  <c r="Z139" i="11" s="1"/>
  <c r="Z137" i="11" a="1"/>
  <c r="Z137" i="11" s="1"/>
  <c r="Z135" i="11" a="1"/>
  <c r="Z135" i="11" s="1"/>
  <c r="Z133" i="11" a="1"/>
  <c r="Z133" i="11" s="1"/>
  <c r="Z131" i="11" a="1"/>
  <c r="Z131" i="11" s="1"/>
  <c r="Z129" i="11" a="1"/>
  <c r="Z129" i="11" s="1"/>
  <c r="Z127" i="11" a="1"/>
  <c r="Z127" i="11" s="1"/>
  <c r="Z125" i="11" a="1"/>
  <c r="Z125" i="11" s="1"/>
  <c r="Z123" i="11" a="1"/>
  <c r="Z123" i="11" s="1"/>
  <c r="Z121" i="11" a="1"/>
  <c r="Z121" i="11" s="1"/>
  <c r="Z119" i="11" a="1"/>
  <c r="Z119" i="11" s="1"/>
  <c r="Z117" i="11" a="1"/>
  <c r="Z117" i="11" s="1"/>
  <c r="Z115" i="11" a="1"/>
  <c r="Z115" i="11" s="1"/>
  <c r="Z113" i="11" a="1"/>
  <c r="Z113" i="11" s="1"/>
  <c r="Z111" i="11" a="1"/>
  <c r="Z111" i="11" s="1"/>
  <c r="Z109" i="11" a="1"/>
  <c r="Z109" i="11" s="1"/>
  <c r="Z107" i="11" a="1"/>
  <c r="Z107" i="11" s="1"/>
  <c r="Z105" i="11" a="1"/>
  <c r="Z105" i="11" s="1"/>
  <c r="Z103" i="11" a="1"/>
  <c r="Z103" i="11" s="1"/>
  <c r="Z101" i="11" a="1"/>
  <c r="Z101" i="11" s="1"/>
  <c r="Z99" i="11" a="1"/>
  <c r="Z99" i="11" s="1"/>
  <c r="Z97" i="11" a="1"/>
  <c r="Z97" i="11" s="1"/>
  <c r="Z95" i="11" a="1"/>
  <c r="Z95" i="11" s="1"/>
  <c r="Z93" i="11" a="1"/>
  <c r="Z93" i="11" s="1"/>
  <c r="Z91" i="11" a="1"/>
  <c r="Z91" i="11" s="1"/>
  <c r="Z89" i="11" a="1"/>
  <c r="Z89" i="11" s="1"/>
  <c r="Z87" i="11" a="1"/>
  <c r="Z87" i="11" s="1"/>
  <c r="Z85" i="11" a="1"/>
  <c r="Z85" i="11" s="1"/>
  <c r="Z83" i="11" a="1"/>
  <c r="Z83" i="11" s="1"/>
  <c r="Z81" i="11" a="1"/>
  <c r="Z81" i="11" s="1"/>
  <c r="Z79" i="11" a="1"/>
  <c r="Z79" i="11" s="1"/>
  <c r="Z77" i="11" a="1"/>
  <c r="Z77" i="11" s="1"/>
  <c r="Z75" i="11" a="1"/>
  <c r="Z75" i="11" s="1"/>
  <c r="Z73" i="11" a="1"/>
  <c r="Z73" i="11" s="1"/>
  <c r="Z71" i="11" a="1"/>
  <c r="Z71" i="11" s="1"/>
  <c r="Z69" i="11" a="1"/>
  <c r="Z69" i="11" s="1"/>
  <c r="Z67" i="11" a="1"/>
  <c r="Z67" i="11" s="1"/>
  <c r="Z65" i="11" a="1"/>
  <c r="Z65" i="11" s="1"/>
  <c r="Z63" i="11" a="1"/>
  <c r="Z63" i="11" s="1"/>
  <c r="Z61" i="11" a="1"/>
  <c r="Z61" i="11" s="1"/>
  <c r="Z59" i="11" a="1"/>
  <c r="Z59" i="11" s="1"/>
  <c r="Z57" i="11" a="1"/>
  <c r="Z57" i="11" s="1"/>
  <c r="Z55" i="11" a="1"/>
  <c r="Z55" i="11" s="1"/>
  <c r="Z53" i="11" a="1"/>
  <c r="Z53" i="11" s="1"/>
  <c r="Z51" i="11" a="1"/>
  <c r="Z51" i="11" s="1"/>
  <c r="Z49" i="11" a="1"/>
  <c r="Z49" i="11" s="1"/>
  <c r="Z47" i="11" a="1"/>
  <c r="Z47" i="11" s="1"/>
  <c r="Z45" i="11" a="1"/>
  <c r="Z45" i="11" s="1"/>
  <c r="Z43" i="11" a="1"/>
  <c r="Z43" i="11" s="1"/>
  <c r="Z41" i="11" a="1"/>
  <c r="Z41" i="11" s="1"/>
  <c r="Z39" i="11" a="1"/>
  <c r="Z39" i="11" s="1"/>
  <c r="Z37" i="11" a="1"/>
  <c r="Z37" i="11" s="1"/>
  <c r="Z35" i="11" a="1"/>
  <c r="Z35" i="11" s="1"/>
  <c r="Z33" i="11" a="1"/>
  <c r="Z33" i="11" s="1"/>
  <c r="Z31" i="11" a="1"/>
  <c r="Z31" i="11" s="1"/>
  <c r="Z29" i="11" a="1"/>
  <c r="Z29" i="11" s="1"/>
  <c r="Z27" i="11" a="1"/>
  <c r="Z27" i="11" s="1"/>
  <c r="Z25" i="11" a="1"/>
  <c r="Z25" i="11" s="1"/>
  <c r="Z23" i="11" a="1"/>
  <c r="Z23" i="11" s="1"/>
  <c r="Z21" i="11" a="1"/>
  <c r="Z21" i="11" s="1"/>
  <c r="Z19" i="11" a="1"/>
  <c r="Z19" i="11" s="1"/>
  <c r="Z17" i="11" a="1"/>
  <c r="Z17" i="11" s="1"/>
  <c r="Z124" i="11" a="1"/>
  <c r="Z124" i="11" s="1"/>
  <c r="Z368" i="11" a="1"/>
  <c r="Z368" i="11" s="1"/>
  <c r="Z240" i="11" a="1"/>
  <c r="Z240" i="11" s="1"/>
  <c r="Z108" i="11" a="1"/>
  <c r="Z108" i="11" s="1"/>
  <c r="Z84" i="11" a="1"/>
  <c r="Z84" i="11" s="1"/>
  <c r="Z304" i="11" a="1"/>
  <c r="Z304" i="11" s="1"/>
  <c r="Z176" i="11" a="1"/>
  <c r="Z176" i="11" s="1"/>
  <c r="Z72" i="11" a="1"/>
  <c r="Z72" i="11" s="1"/>
  <c r="Z40" i="11" a="1"/>
  <c r="Z40" i="11" s="1"/>
  <c r="Z190" i="11" a="1"/>
  <c r="Z190" i="11" s="1"/>
  <c r="Z186" i="11" a="1"/>
  <c r="Z186" i="11" s="1"/>
  <c r="Z182" i="11" a="1"/>
  <c r="Z182" i="11" s="1"/>
  <c r="Z178" i="11" a="1"/>
  <c r="Z178" i="11" s="1"/>
  <c r="Z174" i="11" a="1"/>
  <c r="Z174" i="11" s="1"/>
  <c r="Z170" i="11" a="1"/>
  <c r="Z170" i="11" s="1"/>
  <c r="Z166" i="11" a="1"/>
  <c r="Z166" i="11" s="1"/>
  <c r="Z162" i="11" a="1"/>
  <c r="Z162" i="11" s="1"/>
  <c r="Z158" i="11" a="1"/>
  <c r="Z158" i="11" s="1"/>
  <c r="Z154" i="11" a="1"/>
  <c r="Z154" i="11" s="1"/>
  <c r="Z150" i="11" a="1"/>
  <c r="Z150" i="11" s="1"/>
  <c r="Z146" i="11" a="1"/>
  <c r="Z146" i="11" s="1"/>
  <c r="Z142" i="11" a="1"/>
  <c r="Z142" i="11" s="1"/>
  <c r="Z138" i="11" a="1"/>
  <c r="Z138" i="11" s="1"/>
  <c r="Z134" i="11" a="1"/>
  <c r="Z134" i="11" s="1"/>
  <c r="Z130" i="11" a="1"/>
  <c r="Z130" i="11" s="1"/>
  <c r="Z126" i="11" a="1"/>
  <c r="Z126" i="11" s="1"/>
  <c r="Z122" i="11" a="1"/>
  <c r="Z122" i="11" s="1"/>
  <c r="Z118" i="11" a="1"/>
  <c r="Z118" i="11" s="1"/>
  <c r="Z114" i="11" a="1"/>
  <c r="Z114" i="11" s="1"/>
  <c r="Z110" i="11" a="1"/>
  <c r="Z110" i="11" s="1"/>
  <c r="Z106" i="11" a="1"/>
  <c r="Z106" i="11" s="1"/>
  <c r="Z102" i="11" a="1"/>
  <c r="Z102" i="11" s="1"/>
  <c r="Z98" i="11" a="1"/>
  <c r="Z98" i="11" s="1"/>
  <c r="Z94" i="11" a="1"/>
  <c r="Z94" i="11" s="1"/>
  <c r="Z90" i="11" a="1"/>
  <c r="Z90" i="11" s="1"/>
  <c r="Z86" i="11" a="1"/>
  <c r="Z86" i="11" s="1"/>
  <c r="Z82" i="11" a="1"/>
  <c r="Z82" i="11" s="1"/>
  <c r="Z78" i="11" a="1"/>
  <c r="Z78" i="11" s="1"/>
  <c r="Z74" i="11" a="1"/>
  <c r="Z74" i="11" s="1"/>
  <c r="Z70" i="11" a="1"/>
  <c r="Z70" i="11" s="1"/>
  <c r="Z66" i="11" a="1"/>
  <c r="Z66" i="11" s="1"/>
  <c r="Z62" i="11" a="1"/>
  <c r="Z62" i="11" s="1"/>
  <c r="Z58" i="11" a="1"/>
  <c r="Z58" i="11" s="1"/>
  <c r="Z54" i="11" a="1"/>
  <c r="Z54" i="11" s="1"/>
  <c r="Z50" i="11" a="1"/>
  <c r="Z50" i="11" s="1"/>
  <c r="Z46" i="11" a="1"/>
  <c r="Z46" i="11" s="1"/>
  <c r="Z42" i="11" a="1"/>
  <c r="Z42" i="11" s="1"/>
  <c r="Z38" i="11" a="1"/>
  <c r="Z38" i="11" s="1"/>
  <c r="Z34" i="11" a="1"/>
  <c r="Z34" i="11" s="1"/>
  <c r="Z30" i="11" a="1"/>
  <c r="Z30" i="11" s="1"/>
  <c r="Z26" i="11" a="1"/>
  <c r="Z26" i="11" s="1"/>
  <c r="Z22" i="11" a="1"/>
  <c r="Z22" i="11" s="1"/>
  <c r="Z18" i="11" a="1"/>
  <c r="Z18" i="11" s="1"/>
  <c r="Z223" i="11" a="1"/>
  <c r="Z223" i="11" s="1"/>
  <c r="Z191" i="11" a="1"/>
  <c r="Z191" i="11" s="1"/>
  <c r="Z159" i="11" a="1"/>
  <c r="Z159" i="11" s="1"/>
  <c r="Z432" i="11" a="1"/>
  <c r="Z432" i="11" s="1"/>
  <c r="Z438" i="11" a="1"/>
  <c r="Z438" i="11" s="1"/>
  <c r="Z434" i="11" a="1"/>
  <c r="Z434" i="11" s="1"/>
  <c r="Z430" i="11" a="1"/>
  <c r="Z430" i="11" s="1"/>
  <c r="Z426" i="11" a="1"/>
  <c r="Z426" i="11" s="1"/>
  <c r="Z422" i="11" a="1"/>
  <c r="Z422" i="11" s="1"/>
  <c r="Z418" i="11" a="1"/>
  <c r="Z418" i="11" s="1"/>
  <c r="Z414" i="11" a="1"/>
  <c r="Z414" i="11" s="1"/>
  <c r="Z410" i="11" a="1"/>
  <c r="Z410" i="11" s="1"/>
  <c r="Z406" i="11" a="1"/>
  <c r="Z406" i="11" s="1"/>
  <c r="Z402" i="11" a="1"/>
  <c r="Z402" i="11" s="1"/>
  <c r="Z398" i="11" a="1"/>
  <c r="Z398" i="11" s="1"/>
  <c r="Z394" i="11" a="1"/>
  <c r="Z394" i="11" s="1"/>
  <c r="Z390" i="11" a="1"/>
  <c r="Z390" i="11" s="1"/>
  <c r="Z386" i="11" a="1"/>
  <c r="Z386" i="11" s="1"/>
  <c r="Z382" i="11" a="1"/>
  <c r="Z382" i="11" s="1"/>
  <c r="Z378" i="11" a="1"/>
  <c r="Z378" i="11" s="1"/>
  <c r="Z374" i="11" a="1"/>
  <c r="Z374" i="11" s="1"/>
  <c r="Z370" i="11" a="1"/>
  <c r="Z370" i="11" s="1"/>
  <c r="Z366" i="11" a="1"/>
  <c r="Z366" i="11" s="1"/>
  <c r="Z362" i="11" a="1"/>
  <c r="Z362" i="11" s="1"/>
  <c r="Z358" i="11" a="1"/>
  <c r="Z358" i="11" s="1"/>
  <c r="Z354" i="11" a="1"/>
  <c r="Z354" i="11" s="1"/>
  <c r="Z350" i="11" a="1"/>
  <c r="Z350" i="11" s="1"/>
  <c r="Z346" i="11" a="1"/>
  <c r="Z346" i="11" s="1"/>
  <c r="Z342" i="11" a="1"/>
  <c r="Z342" i="11" s="1"/>
  <c r="Z338" i="11" a="1"/>
  <c r="Z338" i="11" s="1"/>
  <c r="Z334" i="11" a="1"/>
  <c r="Z334" i="11" s="1"/>
  <c r="Z330" i="11" a="1"/>
  <c r="Z330" i="11" s="1"/>
  <c r="Z326" i="11" a="1"/>
  <c r="Z326" i="11" s="1"/>
  <c r="Z322" i="11" a="1"/>
  <c r="Z322" i="11" s="1"/>
  <c r="Z318" i="11" a="1"/>
  <c r="Z318" i="11" s="1"/>
  <c r="Z314" i="11" a="1"/>
  <c r="Z314" i="11" s="1"/>
  <c r="Z310" i="11" a="1"/>
  <c r="Z310" i="11" s="1"/>
  <c r="Z306" i="11" a="1"/>
  <c r="Z306" i="11" s="1"/>
  <c r="Z302" i="11" a="1"/>
  <c r="Z302" i="11" s="1"/>
  <c r="Z298" i="11" a="1"/>
  <c r="Z298" i="11" s="1"/>
  <c r="Z294" i="11" a="1"/>
  <c r="Z294" i="11" s="1"/>
  <c r="Z290" i="11" a="1"/>
  <c r="Z290" i="11" s="1"/>
  <c r="Z286" i="11" a="1"/>
  <c r="Z286" i="11" s="1"/>
  <c r="Z282" i="11" a="1"/>
  <c r="Z282" i="11" s="1"/>
  <c r="Z278" i="11" a="1"/>
  <c r="Z278" i="11" s="1"/>
  <c r="Z274" i="11" a="1"/>
  <c r="Z274" i="11" s="1"/>
  <c r="Z270" i="11" a="1"/>
  <c r="Z270" i="11" s="1"/>
  <c r="Z266" i="11" a="1"/>
  <c r="Z266" i="11" s="1"/>
  <c r="Z262" i="11" a="1"/>
  <c r="Z262" i="11" s="1"/>
  <c r="Z258" i="11" a="1"/>
  <c r="Z258" i="11" s="1"/>
  <c r="Z254" i="11" a="1"/>
  <c r="Z254" i="11" s="1"/>
  <c r="Z250" i="11" a="1"/>
  <c r="Z250" i="11" s="1"/>
  <c r="Z246" i="11" a="1"/>
  <c r="Z246" i="11" s="1"/>
  <c r="Z242" i="11" a="1"/>
  <c r="Z242" i="11" s="1"/>
  <c r="Z238" i="11" a="1"/>
  <c r="Z238" i="11" s="1"/>
  <c r="Z234" i="11" a="1"/>
  <c r="Z234" i="11" s="1"/>
  <c r="Z230" i="11" a="1"/>
  <c r="Z230" i="11" s="1"/>
  <c r="Z226" i="11" a="1"/>
  <c r="Z226" i="11" s="1"/>
  <c r="Z222" i="11" a="1"/>
  <c r="Z222" i="11" s="1"/>
  <c r="Z218" i="11" a="1"/>
  <c r="Z218" i="11" s="1"/>
  <c r="Z214" i="11" a="1"/>
  <c r="Z214" i="11" s="1"/>
  <c r="Z210" i="11" a="1"/>
  <c r="Z210" i="11" s="1"/>
  <c r="Z206" i="11" a="1"/>
  <c r="Z206" i="11" s="1"/>
  <c r="Z202" i="11" a="1"/>
  <c r="Z202" i="11" s="1"/>
  <c r="Z198" i="11" a="1"/>
  <c r="Z198" i="11" s="1"/>
  <c r="Z194" i="11" a="1"/>
  <c r="Z194" i="11" s="1"/>
  <c r="Z440" i="11" a="1"/>
  <c r="Z440" i="11" s="1"/>
  <c r="Z424" i="11" a="1"/>
  <c r="Z424" i="11" s="1"/>
  <c r="Z408" i="11" a="1"/>
  <c r="Z408" i="11" s="1"/>
  <c r="Z392" i="11" a="1"/>
  <c r="Z392" i="11" s="1"/>
  <c r="Z376" i="11" a="1"/>
  <c r="Z376" i="11" s="1"/>
  <c r="Z360" i="11" a="1"/>
  <c r="Z360" i="11" s="1"/>
  <c r="Z344" i="11" a="1"/>
  <c r="Z344" i="11" s="1"/>
  <c r="Z328" i="11" a="1"/>
  <c r="Z328" i="11" s="1"/>
  <c r="Z312" i="11" a="1"/>
  <c r="Z312" i="11" s="1"/>
  <c r="Z296" i="11" a="1"/>
  <c r="Z296" i="11" s="1"/>
  <c r="Z280" i="11" a="1"/>
  <c r="Z280" i="11" s="1"/>
  <c r="Z264" i="11" a="1"/>
  <c r="Z264" i="11" s="1"/>
  <c r="Z248" i="11" a="1"/>
  <c r="Z248" i="11" s="1"/>
  <c r="Z232" i="11" a="1"/>
  <c r="Z232" i="11" s="1"/>
  <c r="Z216" i="11" a="1"/>
  <c r="Z216" i="11" s="1"/>
  <c r="Z200" i="11" a="1"/>
  <c r="Z200" i="11" s="1"/>
  <c r="Z184" i="11" a="1"/>
  <c r="Z184" i="11" s="1"/>
  <c r="Z168" i="11" a="1"/>
  <c r="Z168" i="11" s="1"/>
  <c r="Z152" i="11" a="1"/>
  <c r="Z152" i="11" s="1"/>
  <c r="Z136" i="11" a="1"/>
  <c r="Z136" i="11" s="1"/>
  <c r="Z436" i="11" a="1"/>
  <c r="Z436" i="11" s="1"/>
  <c r="Z428" i="11" a="1"/>
  <c r="Z428" i="11" s="1"/>
  <c r="Z420" i="11" a="1"/>
  <c r="Z420" i="11" s="1"/>
  <c r="Z404" i="11" a="1"/>
  <c r="Z404" i="11" s="1"/>
  <c r="Z388" i="11" a="1"/>
  <c r="Z388" i="11" s="1"/>
  <c r="Z372" i="11" a="1"/>
  <c r="Z372" i="11" s="1"/>
  <c r="Z356" i="11" a="1"/>
  <c r="Z356" i="11" s="1"/>
  <c r="Z340" i="11" a="1"/>
  <c r="Z340" i="11" s="1"/>
  <c r="Z332" i="11" a="1"/>
  <c r="Z332" i="11" s="1"/>
  <c r="Z324" i="11" a="1"/>
  <c r="Z324" i="11" s="1"/>
  <c r="Z316" i="11" a="1"/>
  <c r="Z316" i="11" s="1"/>
  <c r="Z300" i="11" a="1"/>
  <c r="Z300" i="11" s="1"/>
  <c r="Z292" i="11" a="1"/>
  <c r="Z292" i="11" s="1"/>
  <c r="Z284" i="11" a="1"/>
  <c r="Z284" i="11" s="1"/>
  <c r="Z276" i="11" a="1"/>
  <c r="Z276" i="11" s="1"/>
  <c r="Z268" i="11" a="1"/>
  <c r="Z268" i="11" s="1"/>
  <c r="Z260" i="11" a="1"/>
  <c r="Z260" i="11" s="1"/>
  <c r="Z252" i="11" a="1"/>
  <c r="Z252" i="11" s="1"/>
  <c r="Z236" i="11" a="1"/>
  <c r="Z236" i="11" s="1"/>
  <c r="Z228" i="11" a="1"/>
  <c r="Z228" i="11" s="1"/>
  <c r="Z220" i="11" a="1"/>
  <c r="Z220" i="11" s="1"/>
  <c r="Z212" i="11" a="1"/>
  <c r="Z212" i="11" s="1"/>
  <c r="Z204" i="11" a="1"/>
  <c r="Z204" i="11" s="1"/>
  <c r="Z196" i="11" a="1"/>
  <c r="Z196" i="11" s="1"/>
  <c r="Z188" i="11" a="1"/>
  <c r="Z188" i="11" s="1"/>
  <c r="Z180" i="11" a="1"/>
  <c r="Z180" i="11" s="1"/>
  <c r="Z172" i="11" a="1"/>
  <c r="Z172" i="11" s="1"/>
  <c r="Z164" i="11" a="1"/>
  <c r="Z164" i="11" s="1"/>
  <c r="Z156" i="11" a="1"/>
  <c r="Z156" i="11" s="1"/>
  <c r="Z140" i="11" a="1"/>
  <c r="Z140" i="11" s="1"/>
  <c r="Z132" i="11" a="1"/>
  <c r="Z132" i="11" s="1"/>
  <c r="B35" i="1" l="1" a="1"/>
  <c r="B35" i="1" s="1"/>
  <c r="C35" i="1" a="1"/>
  <c r="C35" i="1" s="1"/>
  <c r="B32" i="1" a="1"/>
  <c r="B32" i="1" s="1"/>
  <c r="B34" i="1" a="1"/>
  <c r="B34" i="1" s="1"/>
  <c r="B4" i="1" a="1"/>
  <c r="B4" i="1" s="1"/>
  <c r="B6" i="1" a="1"/>
  <c r="B6" i="1" s="1"/>
  <c r="B9" i="1" a="1"/>
  <c r="B9" i="1" s="1"/>
  <c r="B11" i="1" a="1"/>
  <c r="B11" i="1" s="1"/>
  <c r="B13" i="1" a="1"/>
  <c r="B13" i="1" s="1"/>
  <c r="B16" i="1" a="1"/>
  <c r="B16" i="1" s="1"/>
  <c r="C17" i="1" a="1"/>
  <c r="C17" i="1" s="1"/>
  <c r="C19" i="1" a="1"/>
  <c r="C19" i="1" s="1"/>
  <c r="C22" i="1" a="1"/>
  <c r="C22" i="1" s="1"/>
  <c r="C24" i="1" a="1"/>
  <c r="C24" i="1" s="1"/>
  <c r="C26" i="1" a="1"/>
  <c r="C26" i="1" s="1"/>
  <c r="C29" i="1" a="1"/>
  <c r="C29" i="1" s="1"/>
  <c r="C33" i="1" a="1"/>
  <c r="C33" i="1" s="1"/>
  <c r="C8" i="1" a="1"/>
  <c r="C8" i="1" s="1"/>
  <c r="C15" i="1" a="1"/>
  <c r="C15" i="1" s="1"/>
  <c r="B22" i="1" a="1"/>
  <c r="B22" i="1" s="1"/>
  <c r="B29" i="1" a="1"/>
  <c r="B29" i="1" s="1"/>
  <c r="C32" i="1" a="1"/>
  <c r="C32" i="1" s="1"/>
  <c r="C34" i="1" a="1"/>
  <c r="C34" i="1" s="1"/>
  <c r="C4" i="1" a="1"/>
  <c r="C4" i="1" s="1"/>
  <c r="C6" i="1" a="1"/>
  <c r="C6" i="1" s="1"/>
  <c r="C9" i="1" a="1"/>
  <c r="C9" i="1" s="1"/>
  <c r="C11" i="1" a="1"/>
  <c r="C11" i="1" s="1"/>
  <c r="C13" i="1" a="1"/>
  <c r="C13" i="1" s="1"/>
  <c r="C16" i="1" a="1"/>
  <c r="C16" i="1" s="1"/>
  <c r="B18" i="1" a="1"/>
  <c r="B18" i="1" s="1"/>
  <c r="B20" i="1" a="1"/>
  <c r="B20" i="1" s="1"/>
  <c r="F18" i="2" s="1" a="1"/>
  <c r="F18" i="2" s="1"/>
  <c r="B23" i="1" a="1"/>
  <c r="B23" i="1" s="1"/>
  <c r="B25" i="1" a="1"/>
  <c r="B25" i="1" s="1"/>
  <c r="B27" i="1" a="1"/>
  <c r="B27" i="1" s="1"/>
  <c r="C3" i="1" a="1"/>
  <c r="C3" i="1" s="1"/>
  <c r="D2" i="2" s="1" a="1"/>
  <c r="D2" i="2" s="1"/>
  <c r="B2" i="11" s="1" a="1"/>
  <c r="B2" i="11" s="1"/>
  <c r="C30" i="1" a="1"/>
  <c r="C30" i="1" s="1"/>
  <c r="C10" i="1" a="1"/>
  <c r="C10" i="1" s="1"/>
  <c r="B17" i="1" a="1"/>
  <c r="B17" i="1" s="1"/>
  <c r="B24" i="1" a="1"/>
  <c r="B24" i="1" s="1"/>
  <c r="B33" i="1" a="1"/>
  <c r="B33" i="1" s="1"/>
  <c r="B30" i="1" a="1"/>
  <c r="B30" i="1" s="1"/>
  <c r="B5" i="1" a="1"/>
  <c r="B5" i="1" s="1"/>
  <c r="B8" i="1" a="1"/>
  <c r="B8" i="1" s="1"/>
  <c r="B10" i="1" a="1"/>
  <c r="B10" i="1" s="1"/>
  <c r="B12" i="1" a="1"/>
  <c r="B12" i="1" s="1"/>
  <c r="B15" i="1" a="1"/>
  <c r="B15" i="1" s="1"/>
  <c r="C18" i="1" a="1"/>
  <c r="C18" i="1" s="1"/>
  <c r="C20" i="1" a="1"/>
  <c r="C20" i="1" s="1"/>
  <c r="G18" i="2" s="1" a="1"/>
  <c r="G18" i="2" s="1"/>
  <c r="C23" i="1" a="1"/>
  <c r="C23" i="1" s="1"/>
  <c r="C25" i="1" a="1"/>
  <c r="C25" i="1" s="1"/>
  <c r="C27" i="1" a="1"/>
  <c r="C27" i="1" s="1"/>
  <c r="B3" i="1" a="1"/>
  <c r="B3" i="1" s="1"/>
  <c r="C2" i="2" s="1" a="1"/>
  <c r="C2" i="2" s="1"/>
  <c r="C5" i="1" a="1"/>
  <c r="C5" i="1" s="1"/>
  <c r="C12" i="1" a="1"/>
  <c r="C12" i="1" s="1"/>
  <c r="B19" i="1" a="1"/>
  <c r="B19" i="1" s="1"/>
  <c r="B26" i="1" a="1"/>
  <c r="B26" i="1" s="1"/>
  <c r="F31" i="2" l="1" a="1"/>
  <c r="F31" i="2" s="1"/>
  <c r="D31" i="2" a="1"/>
  <c r="D31" i="2" s="1"/>
  <c r="G30" i="2" a="1"/>
  <c r="G30" i="2" s="1"/>
  <c r="D35" i="1" a="1"/>
  <c r="D35" i="1" s="1"/>
  <c r="F30" i="2" a="1"/>
  <c r="F30" i="2" s="1"/>
  <c r="C31" i="2" a="1"/>
  <c r="C31" i="2" s="1"/>
  <c r="G3" i="2" a="1"/>
  <c r="G3" i="2" s="1"/>
  <c r="B6" i="11" s="1" a="1"/>
  <c r="B6" i="11" s="1"/>
  <c r="D4" i="2" a="1"/>
  <c r="D4" i="2" s="1"/>
  <c r="B8" i="11" s="1" a="1"/>
  <c r="B8" i="11" s="1"/>
  <c r="D13" i="2" a="1"/>
  <c r="D13" i="2" s="1"/>
  <c r="G26" i="2" a="1"/>
  <c r="G26" i="2" s="1"/>
  <c r="G11" i="2" a="1"/>
  <c r="G11" i="2" s="1"/>
  <c r="F20" i="2" a="1"/>
  <c r="F20" i="2" s="1"/>
  <c r="C21" i="2" a="1"/>
  <c r="C21" i="2" s="1"/>
  <c r="F9" i="2" a="1"/>
  <c r="F9" i="2" s="1"/>
  <c r="C10" i="2" a="1"/>
  <c r="C10" i="2" s="1"/>
  <c r="F17" i="2" a="1"/>
  <c r="F17" i="2" s="1"/>
  <c r="C18" i="2" a="1"/>
  <c r="C18" i="2" s="1"/>
  <c r="G10" i="2" a="1"/>
  <c r="G10" i="2" s="1"/>
  <c r="D11" i="2" a="1"/>
  <c r="D11" i="2" s="1"/>
  <c r="G23" i="2" a="1"/>
  <c r="G23" i="2" s="1"/>
  <c r="D24" i="2" a="1"/>
  <c r="D24" i="2" s="1"/>
  <c r="F13" i="2" a="1"/>
  <c r="F13" i="2" s="1"/>
  <c r="C14" i="2" a="1"/>
  <c r="C14" i="2" s="1"/>
  <c r="A32" i="11" s="1" a="1"/>
  <c r="A32" i="11" s="1"/>
  <c r="C13" i="2" a="1"/>
  <c r="C13" i="2" s="1"/>
  <c r="F3" i="2" a="1"/>
  <c r="F3" i="2" s="1"/>
  <c r="A6" i="11" s="1" a="1"/>
  <c r="A6" i="11" s="1"/>
  <c r="C4" i="2" a="1"/>
  <c r="C4" i="2" s="1"/>
  <c r="A8" i="11" s="1" a="1"/>
  <c r="A8" i="11" s="1"/>
  <c r="F15" i="2" a="1"/>
  <c r="F15" i="2" s="1"/>
  <c r="C16" i="2" a="1"/>
  <c r="C16" i="2" s="1"/>
  <c r="F25" i="2" a="1"/>
  <c r="F25" i="2" s="1"/>
  <c r="C26" i="2" a="1"/>
  <c r="C26" i="2" s="1"/>
  <c r="F16" i="2" a="1"/>
  <c r="F16" i="2" s="1"/>
  <c r="A45" i="11" s="1" a="1"/>
  <c r="A45" i="11" s="1"/>
  <c r="C17" i="2" a="1"/>
  <c r="C17" i="2" s="1"/>
  <c r="G7" i="2" a="1"/>
  <c r="G7" i="2" s="1"/>
  <c r="D8" i="2" a="1"/>
  <c r="D8" i="2" s="1"/>
  <c r="G33" i="2" a="1"/>
  <c r="G33" i="2" s="1"/>
  <c r="D33" i="2" a="1"/>
  <c r="D33" i="2" s="1"/>
  <c r="G35" i="2" a="1"/>
  <c r="G35" i="2" s="1"/>
  <c r="G31" i="2" a="1"/>
  <c r="G31" i="2" s="1"/>
  <c r="D34" i="2" a="1"/>
  <c r="D34" i="2" s="1"/>
  <c r="G34" i="2" a="1"/>
  <c r="G34" i="2" s="1"/>
  <c r="G36" i="2" a="1"/>
  <c r="G36" i="2" s="1"/>
  <c r="D35" i="2" a="1"/>
  <c r="D35" i="2" s="1"/>
  <c r="D28" i="2" a="1"/>
  <c r="D28" i="2" s="1"/>
  <c r="B68" i="11" s="1" a="1"/>
  <c r="B68" i="11" s="1"/>
  <c r="D36" i="2" a="1"/>
  <c r="D36" i="2" s="1"/>
  <c r="G6" i="2" a="1"/>
  <c r="G6" i="2" s="1"/>
  <c r="B12" i="11" s="1" a="1"/>
  <c r="B12" i="11" s="1"/>
  <c r="D7" i="2" a="1"/>
  <c r="D7" i="2" s="1"/>
  <c r="G22" i="2" a="1"/>
  <c r="G22" i="2" s="1"/>
  <c r="B54" i="11" s="1" a="1"/>
  <c r="B54" i="11" s="1"/>
  <c r="D23" i="2" a="1"/>
  <c r="D23" i="2" s="1"/>
  <c r="F14" i="2" a="1"/>
  <c r="F14" i="2" s="1"/>
  <c r="A33" i="11" s="1" a="1"/>
  <c r="A33" i="11" s="1"/>
  <c r="C15" i="2" a="1"/>
  <c r="C15" i="2" s="1"/>
  <c r="F4" i="2" a="1"/>
  <c r="F4" i="2" s="1"/>
  <c r="A9" i="11" s="1" a="1"/>
  <c r="A9" i="11" s="1"/>
  <c r="C20" i="2" a="1"/>
  <c r="C20" i="2" s="1"/>
  <c r="A47" i="11" s="1" a="1"/>
  <c r="A47" i="11" s="1"/>
  <c r="D22" i="2" a="1"/>
  <c r="D22" i="2" s="1"/>
  <c r="G21" i="2" a="1"/>
  <c r="G21" i="2" s="1"/>
  <c r="F10" i="2" a="1"/>
  <c r="F10" i="2" s="1"/>
  <c r="A24" i="11" s="1" a="1"/>
  <c r="A24" i="11" s="1"/>
  <c r="C11" i="2" a="1"/>
  <c r="C11" i="2" s="1"/>
  <c r="A29" i="11" s="1" a="1"/>
  <c r="A29" i="11" s="1"/>
  <c r="D30" i="1" a="1"/>
  <c r="D30" i="1" s="1"/>
  <c r="G8" i="2" a="1"/>
  <c r="G8" i="2" s="1"/>
  <c r="D9" i="2" a="1"/>
  <c r="D9" i="2" s="1"/>
  <c r="B20" i="11" s="1" a="1"/>
  <c r="B20" i="11" s="1"/>
  <c r="F23" i="2" a="1"/>
  <c r="F23" i="2" s="1"/>
  <c r="C24" i="2" a="1"/>
  <c r="C24" i="2" s="1"/>
  <c r="G14" i="2" a="1"/>
  <c r="G14" i="2" s="1"/>
  <c r="D15" i="2" a="1"/>
  <c r="D15" i="2" s="1"/>
  <c r="B35" i="11" s="1" a="1"/>
  <c r="B35" i="11" s="1"/>
  <c r="G4" i="2" a="1"/>
  <c r="G4" i="2" s="1"/>
  <c r="B9" i="11" s="1" a="1"/>
  <c r="B9" i="11" s="1"/>
  <c r="D20" i="2" a="1"/>
  <c r="D20" i="2" s="1"/>
  <c r="G28" i="2" a="1"/>
  <c r="G28" i="2" s="1"/>
  <c r="D29" i="2" a="1"/>
  <c r="D29" i="2" s="1"/>
  <c r="D21" i="2" a="1"/>
  <c r="D21" i="2" s="1"/>
  <c r="G20" i="2" a="1"/>
  <c r="G20" i="2" s="1"/>
  <c r="F26" i="2" a="1"/>
  <c r="F26" i="2" s="1"/>
  <c r="H26" i="2" s="1" a="1"/>
  <c r="H26" i="2" s="1"/>
  <c r="F11" i="2" a="1"/>
  <c r="F11" i="2" s="1"/>
  <c r="A27" i="11" s="1" a="1"/>
  <c r="A27" i="11" s="1"/>
  <c r="C3" i="2" a="1"/>
  <c r="C3" i="2" s="1"/>
  <c r="A5" i="11" s="1" a="1"/>
  <c r="A5" i="11" s="1"/>
  <c r="C6" i="2" a="1"/>
  <c r="C6" i="2" s="1"/>
  <c r="A11" i="11" s="1" a="1"/>
  <c r="A11" i="11" s="1"/>
  <c r="F2" i="2" a="1"/>
  <c r="F2" i="2" s="1"/>
  <c r="A3" i="11" s="1" a="1"/>
  <c r="A3" i="11" s="1"/>
  <c r="D34" i="1" a="1"/>
  <c r="D34" i="1" s="1"/>
  <c r="F29" i="2" a="1"/>
  <c r="F29" i="2" s="1"/>
  <c r="C30" i="2" a="1"/>
  <c r="C30" i="2" s="1"/>
  <c r="F24" i="2" a="1"/>
  <c r="F24" i="2" s="1"/>
  <c r="C25" i="2" a="1"/>
  <c r="C25" i="2" s="1"/>
  <c r="F8" i="2" a="1"/>
  <c r="F8" i="2" s="1"/>
  <c r="C9" i="2" a="1"/>
  <c r="C9" i="2" s="1"/>
  <c r="D33" i="1" a="1"/>
  <c r="D33" i="1" s="1"/>
  <c r="C29" i="2" a="1"/>
  <c r="C29" i="2" s="1"/>
  <c r="A71" i="11" s="1" a="1"/>
  <c r="A71" i="11" s="1"/>
  <c r="F28" i="2" a="1"/>
  <c r="F28" i="2" s="1"/>
  <c r="A69" i="11" s="1" a="1"/>
  <c r="A69" i="11" s="1"/>
  <c r="F21" i="2" a="1"/>
  <c r="F21" i="2" s="1"/>
  <c r="A51" i="11" s="1" a="1"/>
  <c r="A51" i="11" s="1"/>
  <c r="C22" i="2" a="1"/>
  <c r="C22" i="2" s="1"/>
  <c r="D6" i="2" a="1"/>
  <c r="D6" i="2" s="1"/>
  <c r="B11" i="11" s="1" a="1"/>
  <c r="B11" i="11" s="1"/>
  <c r="G2" i="2" a="1"/>
  <c r="G2" i="2" s="1"/>
  <c r="B3" i="11" s="1" a="1"/>
  <c r="B3" i="11" s="1"/>
  <c r="D3" i="2" a="1"/>
  <c r="D3" i="2" s="1"/>
  <c r="B5" i="11" s="1" a="1"/>
  <c r="B5" i="11" s="1"/>
  <c r="G17" i="2" a="1"/>
  <c r="G17" i="2" s="1"/>
  <c r="D18" i="2" a="1"/>
  <c r="D18" i="2" s="1"/>
  <c r="D26" i="2" a="1"/>
  <c r="D26" i="2" s="1"/>
  <c r="G25" i="2" a="1"/>
  <c r="G25" i="2" s="1"/>
  <c r="D17" i="2" a="1"/>
  <c r="D17" i="2" s="1"/>
  <c r="G16" i="2" a="1"/>
  <c r="G16" i="2" s="1"/>
  <c r="B39" i="11" s="1" a="1"/>
  <c r="B39" i="11" s="1"/>
  <c r="F6" i="2" a="1"/>
  <c r="F6" i="2" s="1"/>
  <c r="A12" i="11" s="1" a="1"/>
  <c r="A12" i="11" s="1"/>
  <c r="C7" i="2" a="1"/>
  <c r="C7" i="2" s="1"/>
  <c r="A14" i="11" s="1" a="1"/>
  <c r="A14" i="11" s="1"/>
  <c r="F22" i="2" a="1"/>
  <c r="F22" i="2" s="1"/>
  <c r="A54" i="11" s="1" a="1"/>
  <c r="A54" i="11" s="1"/>
  <c r="C23" i="2" a="1"/>
  <c r="C23" i="2" s="1"/>
  <c r="G9" i="2" a="1"/>
  <c r="G9" i="2" s="1"/>
  <c r="B21" i="11" s="1" a="1"/>
  <c r="B21" i="11" s="1"/>
  <c r="D10" i="2" a="1"/>
  <c r="D10" i="2" s="1"/>
  <c r="B26" i="11" s="1" a="1"/>
  <c r="B26" i="11" s="1"/>
  <c r="D30" i="2" a="1"/>
  <c r="D30" i="2" s="1"/>
  <c r="G29" i="2" a="1"/>
  <c r="G29" i="2" s="1"/>
  <c r="G13" i="2" a="1"/>
  <c r="G13" i="2" s="1"/>
  <c r="D14" i="2" a="1"/>
  <c r="D14" i="2" s="1"/>
  <c r="D25" i="2" a="1"/>
  <c r="D25" i="2" s="1"/>
  <c r="G24" i="2" a="1"/>
  <c r="G24" i="2" s="1"/>
  <c r="B60" i="11" s="1" a="1"/>
  <c r="B60" i="11" s="1"/>
  <c r="G15" i="2" a="1"/>
  <c r="G15" i="2" s="1"/>
  <c r="B36" i="11" s="1" a="1"/>
  <c r="B36" i="11" s="1"/>
  <c r="D16" i="2" a="1"/>
  <c r="D16" i="2" s="1"/>
  <c r="F7" i="2" a="1"/>
  <c r="F7" i="2" s="1"/>
  <c r="C8" i="2" a="1"/>
  <c r="C8" i="2" s="1"/>
  <c r="D32" i="1" a="1"/>
  <c r="D32" i="1" s="1"/>
  <c r="C36" i="2" a="1"/>
  <c r="C36" i="2" s="1"/>
  <c r="C28" i="2" a="1"/>
  <c r="C28" i="2" s="1"/>
  <c r="F34" i="2" a="1"/>
  <c r="F34" i="2" s="1"/>
  <c r="C35" i="2" a="1"/>
  <c r="C35" i="2" s="1"/>
  <c r="F36" i="2" a="1"/>
  <c r="F36" i="2" s="1"/>
  <c r="C34" i="2" a="1"/>
  <c r="C34" i="2" s="1"/>
  <c r="C33" i="2" a="1"/>
  <c r="C33" i="2" s="1"/>
  <c r="A80" i="11" s="1" a="1"/>
  <c r="A80" i="11" s="1"/>
  <c r="F33" i="2" a="1"/>
  <c r="F33" i="2" s="1"/>
  <c r="A81" i="11" s="1" a="1"/>
  <c r="A81" i="11" s="1"/>
  <c r="F35" i="2" a="1"/>
  <c r="F35" i="2" s="1"/>
  <c r="A62" i="11" a="1"/>
  <c r="A62" i="11" s="1"/>
  <c r="D26" i="1" a="1"/>
  <c r="D26" i="1" s="1"/>
  <c r="B32" i="11" a="1"/>
  <c r="B32" i="11" s="1"/>
  <c r="D25" i="1" a="1"/>
  <c r="D25" i="1" s="1"/>
  <c r="D5" i="1" a="1"/>
  <c r="D5" i="1" s="1"/>
  <c r="D24" i="1" a="1"/>
  <c r="D24" i="1" s="1"/>
  <c r="D4" i="1" a="1"/>
  <c r="D4" i="1" s="1"/>
  <c r="D6" i="1" a="1"/>
  <c r="D6" i="1" s="1"/>
  <c r="D8" i="1" a="1"/>
  <c r="D8" i="1" s="1"/>
  <c r="D18" i="1" a="1"/>
  <c r="D18" i="1" s="1"/>
  <c r="B83" i="11" a="1"/>
  <c r="B83" i="11" s="1"/>
  <c r="D16" i="1" a="1"/>
  <c r="D16" i="1" s="1"/>
  <c r="D12" i="1" a="1"/>
  <c r="D12" i="1" s="1"/>
  <c r="D19" i="1" a="1"/>
  <c r="D19" i="1" s="1"/>
  <c r="D15" i="1" a="1"/>
  <c r="D15" i="1" s="1"/>
  <c r="A2" i="11" a="1"/>
  <c r="A2" i="11" s="1"/>
  <c r="D3" i="1" a="1"/>
  <c r="D3" i="1" s="1"/>
  <c r="D23" i="1" a="1"/>
  <c r="D23" i="1" s="1"/>
  <c r="D17" i="1" a="1"/>
  <c r="D17" i="1" s="1"/>
  <c r="D20" i="1" a="1"/>
  <c r="D20" i="1" s="1"/>
  <c r="D29" i="1" a="1"/>
  <c r="D29" i="1" s="1"/>
  <c r="D11" i="1" a="1"/>
  <c r="D11" i="1" s="1"/>
  <c r="D27" i="1" a="1"/>
  <c r="D27" i="1" s="1"/>
  <c r="D9" i="1" a="1"/>
  <c r="D9" i="1" s="1"/>
  <c r="D22" i="1" a="1"/>
  <c r="D22" i="1" s="1"/>
  <c r="D13" i="1" a="1"/>
  <c r="D13" i="1" s="1"/>
  <c r="D10" i="1" a="1"/>
  <c r="D10" i="1" s="1"/>
  <c r="A36" i="11" l="1" a="1"/>
  <c r="A36" i="11" s="1"/>
  <c r="A17" i="11" a="1"/>
  <c r="A17" i="11" s="1"/>
  <c r="A60" i="11" a="1"/>
  <c r="A60" i="11" s="1"/>
  <c r="B44" i="11" a="1"/>
  <c r="B44" i="11" s="1"/>
  <c r="B101" i="11" a="1"/>
  <c r="B101" i="11" s="1"/>
  <c r="B104" i="11" a="1"/>
  <c r="B104" i="11" s="1"/>
  <c r="A84" i="11" a="1"/>
  <c r="A84" i="11" s="1"/>
  <c r="A102" i="11" a="1"/>
  <c r="A102" i="11" s="1"/>
  <c r="A105" i="11" a="1"/>
  <c r="A105" i="11" s="1"/>
  <c r="A101" i="11" a="1"/>
  <c r="A101" i="11" s="1"/>
  <c r="A104" i="11" a="1"/>
  <c r="A104" i="11" s="1"/>
  <c r="B102" i="11" a="1"/>
  <c r="B102" i="11" s="1"/>
  <c r="B105" i="11" a="1"/>
  <c r="B105" i="11" s="1"/>
  <c r="B80" i="11" a="1"/>
  <c r="B80" i="11" s="1"/>
  <c r="A41" i="11" a="1"/>
  <c r="A41" i="11" s="1"/>
  <c r="B95" i="11" a="1"/>
  <c r="B95" i="11" s="1"/>
  <c r="B98" i="11" a="1"/>
  <c r="B98" i="11" s="1"/>
  <c r="A65" i="11" a="1"/>
  <c r="A65" i="11" s="1"/>
  <c r="B71" i="11" a="1"/>
  <c r="B71" i="11" s="1"/>
  <c r="B81" i="11" a="1"/>
  <c r="B81" i="11" s="1"/>
  <c r="A39" i="11" a="1"/>
  <c r="A39" i="11" s="1"/>
  <c r="A23" i="11" a="1"/>
  <c r="A23" i="11" s="1"/>
  <c r="B27" i="11" a="1"/>
  <c r="B27" i="11" s="1"/>
  <c r="A56" i="11" a="1"/>
  <c r="A56" i="11" s="1"/>
  <c r="A96" i="11" a="1"/>
  <c r="A96" i="11" s="1"/>
  <c r="A99" i="11" a="1"/>
  <c r="A99" i="11" s="1"/>
  <c r="A95" i="11" a="1"/>
  <c r="A95" i="11" s="1"/>
  <c r="A98" i="11" a="1"/>
  <c r="A98" i="11" s="1"/>
  <c r="B48" i="11" a="1"/>
  <c r="B48" i="11" s="1"/>
  <c r="B96" i="11" a="1"/>
  <c r="B96" i="11" s="1"/>
  <c r="B99" i="11" a="1"/>
  <c r="B99" i="11" s="1"/>
  <c r="A86" i="11" a="1"/>
  <c r="A86" i="11" s="1"/>
  <c r="B50" i="11" a="1"/>
  <c r="B50" i="11" s="1"/>
  <c r="A48" i="11" a="1"/>
  <c r="A48" i="11" s="1"/>
  <c r="A15" i="11" a="1"/>
  <c r="A15" i="11" s="1"/>
  <c r="A53" i="11" a="1"/>
  <c r="A53" i="11" s="1"/>
  <c r="B18" i="11" a="1"/>
  <c r="B18" i="11" s="1"/>
  <c r="A83" i="11" a="1"/>
  <c r="A83" i="11" s="1"/>
  <c r="B62" i="11" a="1"/>
  <c r="B62" i="11" s="1"/>
  <c r="B65" i="11" a="1"/>
  <c r="B65" i="11" s="1"/>
  <c r="B74" i="11" a="1"/>
  <c r="B74" i="11" s="1"/>
  <c r="B41" i="11" a="1"/>
  <c r="B41" i="11" s="1"/>
  <c r="B42" i="11" a="1"/>
  <c r="B42" i="11" s="1"/>
  <c r="B33" i="11" a="1"/>
  <c r="B33" i="11" s="1"/>
  <c r="B51" i="11" a="1"/>
  <c r="B51" i="11" s="1"/>
  <c r="A35" i="11" a="1"/>
  <c r="A35" i="11" s="1"/>
  <c r="B14" i="11" a="1"/>
  <c r="B14" i="11" s="1"/>
  <c r="B86" i="11" a="1"/>
  <c r="B86" i="11" s="1"/>
  <c r="B78" i="11" a="1"/>
  <c r="B78" i="11" s="1"/>
  <c r="B17" i="11" a="1"/>
  <c r="B17" i="11" s="1"/>
  <c r="A30" i="11" a="1"/>
  <c r="A30" i="11" s="1"/>
  <c r="B24" i="11" a="1"/>
  <c r="B24" i="11" s="1"/>
  <c r="A21" i="11" a="1"/>
  <c r="A21" i="11" s="1"/>
  <c r="A77" i="11" a="1"/>
  <c r="A77" i="11" s="1"/>
  <c r="B77" i="11" a="1"/>
  <c r="B77" i="11" s="1"/>
  <c r="A87" i="11" a="1"/>
  <c r="A87" i="11" s="1"/>
  <c r="A90" i="11" a="1"/>
  <c r="A90" i="11" s="1"/>
  <c r="A93" i="11" a="1"/>
  <c r="A93" i="11" s="1"/>
  <c r="A89" i="11" a="1"/>
  <c r="A89" i="11" s="1"/>
  <c r="A92" i="11" a="1"/>
  <c r="A92" i="11" s="1"/>
  <c r="B38" i="11" a="1"/>
  <c r="B38" i="11" s="1"/>
  <c r="B23" i="11" a="1"/>
  <c r="B23" i="11" s="1"/>
  <c r="B63" i="11" a="1"/>
  <c r="B63" i="11" s="1"/>
  <c r="B66" i="11" a="1"/>
  <c r="B66" i="11" s="1"/>
  <c r="A20" i="11" a="1"/>
  <c r="A20" i="11" s="1"/>
  <c r="A74" i="11" a="1"/>
  <c r="A74" i="11" s="1"/>
  <c r="B47" i="11" a="1"/>
  <c r="B47" i="11" s="1"/>
  <c r="A59" i="11" a="1"/>
  <c r="A59" i="11" s="1"/>
  <c r="B53" i="11" a="1"/>
  <c r="B53" i="11" s="1"/>
  <c r="B90" i="11" a="1"/>
  <c r="B90" i="11" s="1"/>
  <c r="B93" i="11" a="1"/>
  <c r="B93" i="11" s="1"/>
  <c r="B87" i="11" a="1"/>
  <c r="B87" i="11" s="1"/>
  <c r="B15" i="11" a="1"/>
  <c r="B15" i="11" s="1"/>
  <c r="A63" i="11" a="1"/>
  <c r="A63" i="11" s="1"/>
  <c r="A66" i="11" a="1"/>
  <c r="A66" i="11" s="1"/>
  <c r="B59" i="11" a="1"/>
  <c r="B59" i="11" s="1"/>
  <c r="A44" i="11" a="1"/>
  <c r="A44" i="11" s="1"/>
  <c r="A50" i="11" a="1"/>
  <c r="A50" i="11" s="1"/>
  <c r="B29" i="11" a="1"/>
  <c r="B29" i="11" s="1"/>
  <c r="A75" i="11" a="1"/>
  <c r="A75" i="11" s="1"/>
  <c r="A78" i="11" a="1"/>
  <c r="A78" i="11" s="1"/>
  <c r="B30" i="11" a="1"/>
  <c r="B30" i="11" s="1"/>
  <c r="A18" i="11" a="1"/>
  <c r="A18" i="11" s="1"/>
  <c r="A72" i="11" a="1"/>
  <c r="A72" i="11" s="1"/>
  <c r="A57" i="11" a="1"/>
  <c r="A57" i="11" s="1"/>
  <c r="A26" i="11" a="1"/>
  <c r="A26" i="11" s="1"/>
  <c r="B56" i="11" a="1"/>
  <c r="B56" i="11" s="1"/>
  <c r="B89" i="11" a="1"/>
  <c r="B89" i="11" s="1"/>
  <c r="B92" i="11" a="1"/>
  <c r="B92" i="11" s="1"/>
  <c r="B84" i="11" a="1"/>
  <c r="B84" i="11" s="1"/>
  <c r="A38" i="11" a="1"/>
  <c r="A38" i="11" s="1"/>
  <c r="B57" i="11" a="1"/>
  <c r="B57" i="11" s="1"/>
  <c r="A42" i="11" a="1"/>
  <c r="A42" i="11" s="1"/>
  <c r="B45" i="11" a="1"/>
  <c r="B45" i="11" s="1"/>
  <c r="H28" i="2" a="1"/>
  <c r="H28" i="2" s="1"/>
  <c r="B69" i="11" a="1"/>
  <c r="B69" i="11" s="1"/>
  <c r="E28" i="2" a="1"/>
  <c r="E28" i="2" s="1"/>
  <c r="A68" i="11" a="1"/>
  <c r="A68" i="11" s="1"/>
  <c r="H30" i="2" a="1"/>
  <c r="H30" i="2" s="1"/>
  <c r="B75" i="11" a="1"/>
  <c r="B75" i="11" s="1"/>
  <c r="H29" i="2" a="1"/>
  <c r="H29" i="2" s="1"/>
  <c r="B72" i="11" a="1"/>
  <c r="B72" i="11" s="1"/>
  <c r="E26" i="2" a="1"/>
  <c r="E26" i="2" s="1"/>
  <c r="E31" i="2" a="1"/>
  <c r="E31" i="2" s="1"/>
  <c r="E34" i="2" a="1"/>
  <c r="E34" i="2" s="1"/>
  <c r="E21" i="2" a="1"/>
  <c r="E21" i="2" s="1"/>
  <c r="E16" i="2" a="1"/>
  <c r="E16" i="2" s="1"/>
  <c r="H17" i="2" a="1"/>
  <c r="H17" i="2" s="1"/>
  <c r="E6" i="2" a="1"/>
  <c r="E6" i="2" s="1"/>
  <c r="E13" i="2" a="1"/>
  <c r="E13" i="2" s="1"/>
  <c r="E9" i="2" a="1"/>
  <c r="E9" i="2" s="1"/>
  <c r="H20" i="2" a="1"/>
  <c r="H20" i="2" s="1"/>
  <c r="E8" i="2" a="1"/>
  <c r="E8" i="2" s="1"/>
  <c r="H25" i="2" a="1"/>
  <c r="H25" i="2" s="1"/>
  <c r="E36" i="2" a="1"/>
  <c r="E36" i="2" s="1"/>
  <c r="H35" i="2" a="1"/>
  <c r="H35" i="2" s="1"/>
  <c r="E35" i="2" a="1"/>
  <c r="E35" i="2" s="1"/>
  <c r="E22" i="2" a="1"/>
  <c r="E22" i="2" s="1"/>
  <c r="E29" i="2" a="1"/>
  <c r="E29" i="2" s="1"/>
  <c r="E3" i="2" a="1"/>
  <c r="E3" i="2" s="1"/>
  <c r="H22" i="2" a="1"/>
  <c r="H22" i="2" s="1"/>
  <c r="H3" i="2" a="1"/>
  <c r="H3" i="2" s="1"/>
  <c r="E10" i="2" a="1"/>
  <c r="E10" i="2" s="1"/>
  <c r="H13" i="2" a="1"/>
  <c r="H13" i="2" s="1"/>
  <c r="E11" i="2" a="1"/>
  <c r="E11" i="2" s="1"/>
  <c r="H16" i="2" a="1"/>
  <c r="H16" i="2" s="1"/>
  <c r="E20" i="2" a="1"/>
  <c r="E20" i="2" s="1"/>
  <c r="H23" i="2" a="1"/>
  <c r="H23" i="2" s="1"/>
  <c r="H8" i="2" a="1"/>
  <c r="H8" i="2" s="1"/>
  <c r="H9" i="2" a="1"/>
  <c r="H9" i="2" s="1"/>
  <c r="H36" i="2" a="1"/>
  <c r="H36" i="2" s="1"/>
  <c r="E33" i="2" a="1"/>
  <c r="E33" i="2" s="1"/>
  <c r="H15" i="2" a="1"/>
  <c r="H15" i="2" s="1"/>
  <c r="E14" i="2" a="1"/>
  <c r="E14" i="2" s="1"/>
  <c r="H10" i="2" a="1"/>
  <c r="H10" i="2" s="1"/>
  <c r="E15" i="2" a="1"/>
  <c r="E15" i="2" s="1"/>
  <c r="E30" i="2" a="1"/>
  <c r="E30" i="2" s="1"/>
  <c r="H31" i="2" a="1"/>
  <c r="H31" i="2" s="1"/>
  <c r="H6" i="2" a="1"/>
  <c r="H6" i="2" s="1"/>
  <c r="H4" i="2" a="1"/>
  <c r="H4" i="2" s="1"/>
  <c r="E24" i="2" a="1"/>
  <c r="E24" i="2" s="1"/>
  <c r="E25" i="2" a="1"/>
  <c r="E25" i="2" s="1"/>
  <c r="H11" i="2" a="1"/>
  <c r="H11" i="2" s="1"/>
  <c r="H7" i="2" a="1"/>
  <c r="H7" i="2" s="1"/>
  <c r="H34" i="2" a="1"/>
  <c r="H34" i="2" s="1"/>
  <c r="H33" i="2" a="1"/>
  <c r="H33" i="2" s="1"/>
  <c r="H18" i="2" a="1"/>
  <c r="H18" i="2" s="1"/>
  <c r="H21" i="2" a="1"/>
  <c r="H21" i="2" s="1"/>
  <c r="E2" i="2" a="1"/>
  <c r="E2" i="2" s="1"/>
  <c r="E18" i="2" a="1"/>
  <c r="E18" i="2" s="1"/>
  <c r="H14" i="2" a="1"/>
  <c r="H14" i="2" s="1"/>
  <c r="E17" i="2" a="1"/>
  <c r="E17" i="2" s="1"/>
  <c r="E7" i="2" a="1"/>
  <c r="E7" i="2" s="1"/>
  <c r="H2" i="2" a="1"/>
  <c r="H2" i="2" s="1"/>
  <c r="E23" i="2" a="1"/>
  <c r="E23" i="2" s="1"/>
  <c r="E4" i="2" a="1"/>
  <c r="E4" i="2" s="1"/>
  <c r="H24" i="2" a="1"/>
  <c r="H2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<sst xmlns="http://schemas.openxmlformats.org/spreadsheetml/2006/main" count="278" uniqueCount="161">
  <si>
    <t>Name</t>
  </si>
  <si>
    <t>Text</t>
  </si>
  <si>
    <t>Forum</t>
  </si>
  <si>
    <t>Image</t>
  </si>
  <si>
    <t>Path</t>
  </si>
  <si>
    <t>Intro</t>
  </si>
  <si>
    <t>Features</t>
  </si>
  <si>
    <t>Applications</t>
  </si>
  <si>
    <t>Benefits</t>
  </si>
  <si>
    <t>Feature1</t>
  </si>
  <si>
    <t>Images/build.png</t>
  </si>
  <si>
    <t>Feature2</t>
  </si>
  <si>
    <t>Images/location.png</t>
  </si>
  <si>
    <t>Feature3</t>
  </si>
  <si>
    <t>Images/forum.png</t>
  </si>
  <si>
    <t>Feature4</t>
  </si>
  <si>
    <t>Images/room.png</t>
  </si>
  <si>
    <t>Feature5</t>
  </si>
  <si>
    <t>Images/content.png</t>
  </si>
  <si>
    <t>Feature6</t>
  </si>
  <si>
    <t>Images/image.png</t>
  </si>
  <si>
    <t>Application1</t>
  </si>
  <si>
    <t>Images/maps.png</t>
  </si>
  <si>
    <t>Application2</t>
  </si>
  <si>
    <t>Images/tour.png</t>
  </si>
  <si>
    <t>Application3</t>
  </si>
  <si>
    <t>Images/meetups.png</t>
  </si>
  <si>
    <t>Application4</t>
  </si>
  <si>
    <t>Images/game.png</t>
  </si>
  <si>
    <t>Application5</t>
  </si>
  <si>
    <t>Images/find.png</t>
  </si>
  <si>
    <t>Application6</t>
  </si>
  <si>
    <t>Images/sitemap.png</t>
  </si>
  <si>
    <t>Benefit1</t>
  </si>
  <si>
    <t>Images/community.png</t>
  </si>
  <si>
    <t>Benefit2</t>
  </si>
  <si>
    <t>Spatial Learning</t>
  </si>
  <si>
    <t>Images/slide.png</t>
  </si>
  <si>
    <t>Benefit3</t>
  </si>
  <si>
    <t>Spatial Memory</t>
  </si>
  <si>
    <t>Benefit4</t>
  </si>
  <si>
    <t>&lt;size=80%&gt;Better Recollection</t>
  </si>
  <si>
    <t>Benefit5</t>
  </si>
  <si>
    <t>&lt;size=80%&gt;Better Engagement</t>
  </si>
  <si>
    <t>Benefit6</t>
  </si>
  <si>
    <t>Improved Grasping</t>
  </si>
  <si>
    <t>Location</t>
  </si>
  <si>
    <t>End</t>
  </si>
  <si>
    <t>Start</t>
  </si>
  <si>
    <t>File Name</t>
  </si>
  <si>
    <t>My World</t>
  </si>
  <si>
    <t>Status</t>
  </si>
  <si>
    <t>Off</t>
  </si>
  <si>
    <t>Version</t>
  </si>
  <si>
    <t>0.0.2</t>
  </si>
  <si>
    <t>Syntax</t>
  </si>
  <si>
    <t>https://www.spotmaze.com</t>
  </si>
  <si>
    <t>https://spotmaze.world/spotmaze</t>
  </si>
  <si>
    <t>&lt;size=80%&gt;Applications</t>
  </si>
  <si>
    <t>&lt;size=70%&gt;Build Worlds&lt;/size&gt;\n\n\n\n\n</t>
  </si>
  <si>
    <t>&lt;size=70%&gt;Create Locations&lt;/size&gt;\n\n\n\n\n</t>
  </si>
  <si>
    <t>&lt;size=70%&gt;Connect Forums&lt;/size&gt;\n\n\n\n\n</t>
  </si>
  <si>
    <t>&lt;size=70%&gt;Create Rooms&lt;/size&gt;\n\n\n\n\n</t>
  </si>
  <si>
    <t>&lt;size=70%&gt;Write Content&lt;/size&gt;\n\n\n\n\n</t>
  </si>
  <si>
    <t>&lt;size=70%&gt;Embed Images&lt;/size&gt;\n\n\n\n\n</t>
  </si>
  <si>
    <t>&lt;size=70%&gt;Building Maps&lt;/size&gt;\n\n\n\n\n</t>
  </si>
  <si>
    <t>&lt;size=70%&gt;Tour Creation&lt;/size&gt;\n\n\n\n\n</t>
  </si>
  <si>
    <t>&lt;size=50%&gt;Organizing Meetups&lt;/size&gt;\n\n\n\n\n</t>
  </si>
  <si>
    <t>&lt;size=80%&gt;Gamification&lt;/size&gt;\n\n\n\n\n</t>
  </si>
  <si>
    <t>&lt;size=70%&gt;Site Maps&lt;/size&gt;\n\n\n\n\n</t>
  </si>
  <si>
    <t>&lt;size=70%&gt;Finding Content&lt;/size&gt;\n\n\n\n\n</t>
  </si>
  <si>
    <t>&lt;size=70%&gt;Community&lt;/size&gt;\n\n\n\n\n</t>
  </si>
  <si>
    <t>What is Spotmaze?&lt;size=60%&gt;\n\n(Press &lt;u&gt;Enter&lt;/u&gt; Here)</t>
  </si>
  <si>
    <t>X</t>
  </si>
  <si>
    <t>Y</t>
  </si>
  <si>
    <t>Xmin</t>
  </si>
  <si>
    <t>Xmax</t>
  </si>
  <si>
    <t>Ymin</t>
  </si>
  <si>
    <t>Ymax</t>
  </si>
  <si>
    <t>World</t>
  </si>
  <si>
    <t>X1</t>
  </si>
  <si>
    <t>Y1</t>
  </si>
  <si>
    <t>X2</t>
  </si>
  <si>
    <t>Y2</t>
  </si>
  <si>
    <t>Blank_2</t>
  </si>
  <si>
    <t>Blank_1</t>
  </si>
  <si>
    <t>Blank_3</t>
  </si>
  <si>
    <t>Blank_4</t>
  </si>
  <si>
    <t>P1</t>
  </si>
  <si>
    <t>P2</t>
  </si>
  <si>
    <t>[[3,6],[3,7],[1,7],[1,6]]</t>
  </si>
  <si>
    <t>Paths</t>
  </si>
  <si>
    <t>Manually create paths using grid locations below</t>
  </si>
  <si>
    <t>Use the grid below to manually entering the locations (if needed)</t>
  </si>
  <si>
    <t>Path 1</t>
  </si>
  <si>
    <t>Path 2</t>
  </si>
  <si>
    <t>Details</t>
  </si>
  <si>
    <t>Login</t>
  </si>
  <si>
    <t>Option 2 : Rename &amp; Upload</t>
  </si>
  <si>
    <t>Option 1 : Copy &amp; Paste</t>
  </si>
  <si>
    <t>1. Fork the default Spotmaze Repository</t>
  </si>
  <si>
    <t>Room</t>
  </si>
  <si>
    <t>https://spotmaze.world/spotmaze?room1</t>
  </si>
  <si>
    <t>Dowload Spreadsheet: https://docs.google.com/spreadsheets/d/1Q0a8-2sIvj7IQSQ2C1mAVWkEygv6768o</t>
  </si>
  <si>
    <t>Option 3 : Create a custom room</t>
  </si>
  <si>
    <t>Your forked repo : https://github.com/[username]/spotmaze</t>
  </si>
  <si>
    <t>Link</t>
  </si>
  <si>
    <t>Sheet version number</t>
  </si>
  <si>
    <t xml:space="preserve">Go to Excel Convererter: https://beautifytools.com/excel-to-json-converter.php# </t>
  </si>
  <si>
    <t>Drag 3 cells 
at a time</t>
  </si>
  <si>
    <t>Fork this Repo : https://github.com/spotmaze/spotmaze
Run : https://spotmaze.world/username</t>
  </si>
  <si>
    <t>Link to your world : https://spotmaze.world/username</t>
  </si>
  <si>
    <t>Link to your room : https://spotmaze.world/username?myroom</t>
  </si>
  <si>
    <t>Steps to convert your Excel file</t>
  </si>
  <si>
    <t>Run</t>
  </si>
  <si>
    <t>Convert</t>
  </si>
  <si>
    <t>Upload</t>
  </si>
  <si>
    <t>Go to this website</t>
  </si>
  <si>
    <t>(1) Create/Login to your GitHub account
(2) Fork the spotmaze repository on GItHub.
(3) Run your world using the Spotmaze URL with your GitHub username.</t>
  </si>
  <si>
    <t>Steps to get your world running online</t>
  </si>
  <si>
    <t>1. Download the default Spotmaze spreadsheet</t>
  </si>
  <si>
    <t>(1) Download from the default sheet to get started. 
(2) Edit the Spots and Maze sheet.
(3) Extend any extra segments to the Paths sheet for visualization .</t>
  </si>
  <si>
    <r>
      <t xml:space="preserve">2. Upload </t>
    </r>
    <r>
      <rPr>
        <b/>
        <sz val="11"/>
        <color theme="1"/>
        <rFont val="Calibri"/>
        <family val="2"/>
      </rPr>
      <t>→</t>
    </r>
    <r>
      <rPr>
        <b/>
        <sz val="11"/>
        <color theme="1"/>
        <rFont val="Calibri"/>
        <family val="2"/>
        <scheme val="minor"/>
      </rPr>
      <t xml:space="preserve"> Convert → Download</t>
    </r>
  </si>
  <si>
    <t>Options to upload your converted file</t>
  </si>
  <si>
    <r>
      <t xml:space="preserve">(1) Rename the dowloaded file to </t>
    </r>
    <r>
      <rPr>
        <b/>
        <i/>
        <sz val="11"/>
        <color rgb="FF002060"/>
        <rFont val="Calibri"/>
        <family val="2"/>
        <scheme val="minor"/>
      </rPr>
      <t>spotmaze.json</t>
    </r>
    <r>
      <rPr>
        <sz val="11"/>
        <color rgb="FF002060"/>
        <rFont val="Calibri"/>
        <family val="2"/>
        <scheme val="minor"/>
      </rPr>
      <t xml:space="preserve"> 
(2) Upload this to your forked repo (replacing the existing file).</t>
    </r>
  </si>
  <si>
    <r>
      <t xml:space="preserve">(1) Rename the dowloaded file to </t>
    </r>
    <r>
      <rPr>
        <b/>
        <sz val="11"/>
        <color rgb="FF002060"/>
        <rFont val="Calibri"/>
        <family val="2"/>
        <scheme val="minor"/>
      </rPr>
      <t>myroom</t>
    </r>
    <r>
      <rPr>
        <b/>
        <i/>
        <sz val="11"/>
        <color rgb="FF002060"/>
        <rFont val="Calibri"/>
        <family val="2"/>
        <scheme val="minor"/>
      </rPr>
      <t>.json</t>
    </r>
    <r>
      <rPr>
        <sz val="11"/>
        <color rgb="FF002060"/>
        <rFont val="Calibri"/>
        <family val="2"/>
        <scheme val="minor"/>
      </rPr>
      <t xml:space="preserve"> 
(2) Upload this file to your forked repo.</t>
    </r>
  </si>
  <si>
    <r>
      <t xml:space="preserve">(1) Copy all the text from your dowloaded file.
(2) Open your forked Spotmaze repo
(3) There you'll find a </t>
    </r>
    <r>
      <rPr>
        <b/>
        <sz val="11"/>
        <color rgb="FF002060"/>
        <rFont val="Calibri"/>
        <family val="2"/>
        <scheme val="minor"/>
      </rPr>
      <t>spotmaze.json</t>
    </r>
    <r>
      <rPr>
        <sz val="11"/>
        <color rgb="FF002060"/>
        <rFont val="Calibri"/>
        <family val="2"/>
        <scheme val="minor"/>
      </rPr>
      <t xml:space="preserve"> file, begin editing this file.
(4) Paste the converted text from your dowloaded file into this file.
</t>
    </r>
  </si>
  <si>
    <t>Teleport</t>
  </si>
  <si>
    <t>https://www.spotmaze.com/forum/welcome-to-the-forum/what-is-spotmaze</t>
  </si>
  <si>
    <t>https://www.spotmaze.com/forum/welcome-to-the-forum/features</t>
  </si>
  <si>
    <t>https://www.spotmaze.com/forum/welcome-to-the-forum/applications</t>
  </si>
  <si>
    <t>https://www.spotmaze.com/forum/welcome-to-the-forum/benefits</t>
  </si>
  <si>
    <t>https://www.spotmaze.com/forum/welcome-to-the-forum/build-worlds</t>
  </si>
  <si>
    <t>https://www.spotmaze.com/forum/welcome-to-the-forum/create-locations</t>
  </si>
  <si>
    <t>https://www.spotmaze.com/forum/welcome-to-the-forum/connect-forums</t>
  </si>
  <si>
    <t>https://www.spotmaze.com/forum/welcome-to-the-forum/create-rooms</t>
  </si>
  <si>
    <t>https://www.spotmaze.com/forum/welcome-to-the-forum/write-content</t>
  </si>
  <si>
    <t>https://www.spotmaze.com/forum/welcome-to-the-forum/embed-images</t>
  </si>
  <si>
    <t>https://www.spotmaze.com/forum/welcome-to-the-forum/building-maps</t>
  </si>
  <si>
    <t>https://www.spotmaze.com/forum/welcome-to-the-forum/tour-creation</t>
  </si>
  <si>
    <t>https://www.spotmaze.com/forum/welcome-to-the-forum/organizing-meetups</t>
  </si>
  <si>
    <t>https://www.spotmaze.com/forum/welcome-to-the-forum/gamification</t>
  </si>
  <si>
    <t>https://www.spotmaze.com/forum/welcome-to-the-forum/finding-content</t>
  </si>
  <si>
    <t>https://www.spotmaze.com/forum/welcome-to-the-forum/site-maps</t>
  </si>
  <si>
    <t>https://www.spotmaze.com/forum/welcome-to-the-forum/community</t>
  </si>
  <si>
    <t>https://www.spotmaze.com/forum/welcome-to-the-forum/spatial-learning</t>
  </si>
  <si>
    <t>https://www.spotmaze.com/forum/welcome-to-the-forum/spatial-memory</t>
  </si>
  <si>
    <t>https://www.spotmaze.com/forum/welcome-to-the-forum/better-recollection</t>
  </si>
  <si>
    <t>https://www.spotmaze.com/forum/welcome-to-the-forum/better-engagement</t>
  </si>
  <si>
    <t>https://www.spotmaze.com/forum/welcome-to-the-forum/improved-grasping</t>
  </si>
  <si>
    <t>Tutorials</t>
  </si>
  <si>
    <t>https://drive.google.com/drive/folders/1uFoeFM3rilbJz49_iyZiGy5QKXaBKMjv?usp=sharing</t>
  </si>
  <si>
    <t>Download Video Tutorials</t>
  </si>
  <si>
    <t>Tutorials Cloud folder</t>
  </si>
  <si>
    <t>Teleport1</t>
  </si>
  <si>
    <t>Teleport2</t>
  </si>
  <si>
    <t>Images/teleport.png</t>
  </si>
  <si>
    <t>Teleport\n\n\n\n\n&lt;size=60%&gt;(Press &lt;u&gt;Enter&lt;/u&gt; Here)</t>
  </si>
  <si>
    <t>(1) Download the video tutorials.</t>
  </si>
  <si>
    <r>
      <t xml:space="preserve">Build your Spotmaze map here!
</t>
    </r>
    <r>
      <rPr>
        <b/>
        <sz val="11"/>
        <color theme="0" tint="-0.499984740745262"/>
        <rFont val="Calibri"/>
        <family val="2"/>
        <scheme val="minor"/>
      </rPr>
      <t xml:space="preserve">(a) Write the names of your spots in the Spots Sheet. (b) Enter your spot names below using the dropdown menus (click to activate &amp; press </t>
    </r>
    <r>
      <rPr>
        <b/>
        <sz val="11"/>
        <color theme="1"/>
        <rFont val="Calibri"/>
        <family val="2"/>
        <scheme val="minor"/>
      </rPr>
      <t>Left-ALT(⌥)</t>
    </r>
    <r>
      <rPr>
        <b/>
        <sz val="11"/>
        <color theme="0" tint="-0.499984740745262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+</t>
    </r>
    <r>
      <rPr>
        <b/>
        <sz val="11"/>
        <color theme="0" tint="-0.499984740745262"/>
        <rFont val="Calibri"/>
        <family val="2"/>
        <scheme val="minor"/>
      </rPr>
      <t xml:space="preserve"> </t>
    </r>
    <r>
      <rPr>
        <b/>
        <sz val="11"/>
        <rFont val="Calibri"/>
        <family val="2"/>
      </rPr>
      <t>↓↑</t>
    </r>
    <r>
      <rPr>
        <b/>
        <sz val="11"/>
        <color theme="0" tint="-0.499984740745262"/>
        <rFont val="Calibri"/>
        <family val="2"/>
        <scheme val="minor"/>
      </rPr>
      <t>[up-down arrows] to select).</t>
    </r>
  </si>
  <si>
    <t xml:space="preserve">(1) Go to the online excel convererter 
(2) Upload your excel file to the online convererter.
(3) Press convert and download the converted file.
(4) (Or) Press the Button in the Spots sheet.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</si>
</sst>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Arial Unicode MS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20"/>
      <name val="Arial"/>
      <family val="2"/>
    </font>
    <font>
      <sz val="22"/>
      <color theme="1"/>
      <name val="Calibri"/>
      <family val="2"/>
      <scheme val="minor"/>
    </font>
    <font>
      <b/>
      <sz val="10"/>
      <color rgb="FF00B0F0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0"/>
      <color theme="0" tint="-0.34998626667073579"/>
      <name val="Arial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11C1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b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b/>
      <sz val="10"/>
      <color theme="0" tint="-0.34998626667073579"/>
      <name val="Arial"/>
      <family val="2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rgb="FF11C1FF"/>
      <name val="Arial"/>
      <family val="2"/>
    </font>
    <font>
      <sz val="9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CF1F8"/>
        <bgColor indexed="64"/>
      </patternFill>
    </fill>
    <fill>
      <patternFill patternType="solid">
        <fgColor rgb="FFF0F4F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5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left"/>
    </xf>
    <xf numFmtId="0" fontId="1" fillId="0" borderId="0" xfId="1" applyBorder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0" fontId="1" fillId="0" borderId="0" xfId="1" applyBorder="1" applyAlignment="1" applyProtection="1">
      <alignment horizontal="left" vertical="center"/>
      <protection locked="0"/>
    </xf>
    <xf numFmtId="0" fontId="1" fillId="0" borderId="0" xfId="1" applyBorder="1" applyAlignment="1" applyProtection="1">
      <alignment vertical="center"/>
      <protection locked="0"/>
    </xf>
    <xf numFmtId="0" fontId="1" fillId="0" borderId="0" xfId="0" applyFont="1" applyBorder="1" applyAlignment="1" applyProtection="1">
      <alignment vertical="center"/>
      <protection locked="0"/>
    </xf>
    <xf numFmtId="0" fontId="1" fillId="0" borderId="0" xfId="0" applyFont="1" applyBorder="1" applyAlignment="1" applyProtection="1">
      <alignment horizontal="left" vertical="center" wrapText="1"/>
      <protection locked="0"/>
    </xf>
    <xf numFmtId="0" fontId="1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Protection="1">
      <protection locked="0"/>
    </xf>
    <xf numFmtId="0" fontId="1" fillId="0" borderId="0" xfId="1" applyBorder="1" applyAlignment="1" applyProtection="1">
      <alignment horizontal="center" vertical="center"/>
      <protection locked="0"/>
    </xf>
    <xf numFmtId="0" fontId="7" fillId="0" borderId="0" xfId="1" applyFont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2" fillId="0" borderId="2" xfId="2" applyBorder="1" applyAlignment="1" applyProtection="1">
      <alignment horizont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15" fillId="0" borderId="0" xfId="1" applyFont="1" applyBorder="1" applyAlignment="1" applyProtection="1">
      <alignment horizontal="center" vertical="center"/>
      <protection locked="0"/>
    </xf>
    <xf numFmtId="0" fontId="15" fillId="0" borderId="0" xfId="1" applyFont="1" applyBorder="1" applyAlignment="1" applyProtection="1">
      <alignment horizontal="center" vertical="top"/>
      <protection locked="0"/>
    </xf>
    <xf numFmtId="0" fontId="14" fillId="2" borderId="9" xfId="0" applyFont="1" applyFill="1" applyBorder="1" applyAlignment="1" applyProtection="1">
      <alignment horizontal="center"/>
      <protection locked="0"/>
    </xf>
    <xf numFmtId="0" fontId="14" fillId="2" borderId="3" xfId="0" applyFont="1" applyFill="1" applyBorder="1" applyAlignment="1" applyProtection="1">
      <alignment horizontal="center"/>
      <protection locked="0"/>
    </xf>
    <xf numFmtId="0" fontId="14" fillId="2" borderId="10" xfId="0" applyFont="1" applyFill="1" applyBorder="1" applyAlignment="1" applyProtection="1">
      <alignment horizontal="center"/>
      <protection locked="0"/>
    </xf>
    <xf numFmtId="0" fontId="14" fillId="2" borderId="1" xfId="0" applyFont="1" applyFill="1" applyBorder="1" applyAlignment="1" applyProtection="1">
      <alignment horizontal="center"/>
      <protection locked="0"/>
    </xf>
    <xf numFmtId="0" fontId="14" fillId="3" borderId="2" xfId="0" applyFont="1" applyFill="1" applyBorder="1" applyAlignment="1" applyProtection="1">
      <alignment horizontal="center"/>
      <protection locked="0"/>
    </xf>
    <xf numFmtId="0" fontId="14" fillId="3" borderId="8" xfId="0" applyFont="1" applyFill="1" applyBorder="1" applyAlignment="1" applyProtection="1">
      <alignment horizontal="center"/>
      <protection locked="0"/>
    </xf>
    <xf numFmtId="0" fontId="14" fillId="2" borderId="0" xfId="0" applyFont="1" applyFill="1" applyBorder="1" applyAlignment="1" applyProtection="1">
      <alignment horizontal="center"/>
      <protection locked="0"/>
    </xf>
    <xf numFmtId="0" fontId="14" fillId="2" borderId="10" xfId="0" quotePrefix="1" applyFont="1" applyFill="1" applyBorder="1" applyAlignment="1" applyProtection="1">
      <alignment horizontal="center" vertical="center"/>
      <protection locked="0"/>
    </xf>
    <xf numFmtId="0" fontId="14" fillId="2" borderId="11" xfId="0" applyFont="1" applyFill="1" applyBorder="1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4" borderId="2" xfId="0" applyFont="1" applyFill="1" applyBorder="1" applyAlignment="1" applyProtection="1">
      <alignment horizontal="center"/>
      <protection locked="0"/>
    </xf>
    <xf numFmtId="0" fontId="14" fillId="4" borderId="8" xfId="0" applyFont="1" applyFill="1" applyBorder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/>
      <protection locked="0"/>
    </xf>
    <xf numFmtId="0" fontId="14" fillId="3" borderId="11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0" fontId="18" fillId="0" borderId="0" xfId="0" applyFont="1" applyFill="1" applyBorder="1" applyAlignment="1" applyProtection="1">
      <alignment horizontal="center" wrapText="1"/>
    </xf>
    <xf numFmtId="0" fontId="0" fillId="0" borderId="25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17" fillId="0" borderId="24" xfId="0" applyFont="1" applyBorder="1" applyAlignment="1">
      <alignment horizontal="left" vertical="center" wrapText="1"/>
    </xf>
    <xf numFmtId="0" fontId="17" fillId="0" borderId="29" xfId="0" applyFont="1" applyBorder="1" applyAlignment="1">
      <alignment horizontal="left" vertical="center" wrapText="1"/>
    </xf>
    <xf numFmtId="0" fontId="2" fillId="0" borderId="31" xfId="2" applyFill="1" applyBorder="1" applyAlignment="1" applyProtection="1">
      <alignment horizontal="left" vertical="center"/>
      <protection locked="0"/>
    </xf>
    <xf numFmtId="0" fontId="2" fillId="0" borderId="28" xfId="2" applyFill="1" applyBorder="1" applyAlignment="1">
      <alignment horizontal="left" vertical="center"/>
    </xf>
    <xf numFmtId="0" fontId="2" fillId="0" borderId="31" xfId="2" applyFill="1" applyBorder="1" applyAlignment="1">
      <alignment horizontal="left" vertical="center"/>
    </xf>
    <xf numFmtId="0" fontId="20" fillId="0" borderId="27" xfId="0" applyFont="1" applyFill="1" applyBorder="1" applyAlignment="1" applyProtection="1">
      <alignment horizontal="left" vertical="center" wrapText="1"/>
    </xf>
    <xf numFmtId="0" fontId="20" fillId="0" borderId="29" xfId="0" applyFont="1" applyFill="1" applyBorder="1" applyAlignment="1" applyProtection="1">
      <alignment horizontal="left" vertical="center" wrapText="1"/>
    </xf>
    <xf numFmtId="0" fontId="21" fillId="0" borderId="2" xfId="0" applyFont="1" applyBorder="1" applyAlignment="1">
      <alignment horizontal="left" vertical="top" wrapText="1"/>
    </xf>
    <xf numFmtId="0" fontId="21" fillId="0" borderId="30" xfId="0" applyFont="1" applyBorder="1" applyAlignment="1">
      <alignment horizontal="left" vertical="top" wrapText="1"/>
    </xf>
    <xf numFmtId="0" fontId="0" fillId="0" borderId="0" xfId="0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2" fillId="0" borderId="2" xfId="2" applyBorder="1" applyAlignment="1" applyProtection="1">
      <alignment horizontal="center"/>
    </xf>
    <xf numFmtId="0" fontId="24" fillId="0" borderId="0" xfId="0" applyFont="1" applyBorder="1" applyAlignment="1" applyProtection="1">
      <alignment vertical="center"/>
      <protection locked="0"/>
    </xf>
    <xf numFmtId="0" fontId="24" fillId="0" borderId="0" xfId="1" applyFont="1" applyBorder="1" applyAlignment="1" applyProtection="1">
      <alignment horizontal="center" vertical="top"/>
      <protection locked="0"/>
    </xf>
    <xf numFmtId="0" fontId="27" fillId="0" borderId="0" xfId="0" applyFont="1" applyAlignment="1" applyProtection="1">
      <alignment horizontal="center" vertical="center"/>
    </xf>
    <xf numFmtId="0" fontId="27" fillId="0" borderId="0" xfId="0" applyFont="1" applyProtection="1"/>
    <xf numFmtId="0" fontId="14" fillId="3" borderId="10" xfId="0" applyFont="1" applyFill="1" applyBorder="1" applyAlignment="1" applyProtection="1">
      <alignment horizontal="center"/>
      <protection locked="0"/>
    </xf>
    <xf numFmtId="0" fontId="14" fillId="3" borderId="1" xfId="0" applyFont="1" applyFill="1" applyBorder="1" applyAlignment="1" applyProtection="1">
      <alignment horizontal="center"/>
      <protection locked="0"/>
    </xf>
    <xf numFmtId="0" fontId="14" fillId="2" borderId="32" xfId="0" applyFont="1" applyFill="1" applyBorder="1" applyAlignment="1" applyProtection="1">
      <alignment horizontal="center"/>
      <protection locked="0"/>
    </xf>
    <xf numFmtId="0" fontId="14" fillId="2" borderId="33" xfId="0" applyFont="1" applyFill="1" applyBorder="1" applyAlignment="1" applyProtection="1">
      <alignment horizontal="center"/>
      <protection locked="0"/>
    </xf>
    <xf numFmtId="0" fontId="14" fillId="2" borderId="15" xfId="0" applyFont="1" applyFill="1" applyBorder="1" applyAlignment="1" applyProtection="1">
      <alignment horizontal="center"/>
      <protection locked="0"/>
    </xf>
    <xf numFmtId="0" fontId="14" fillId="2" borderId="34" xfId="0" applyFont="1" applyFill="1" applyBorder="1" applyAlignment="1" applyProtection="1">
      <alignment horizontal="center"/>
      <protection locked="0"/>
    </xf>
    <xf numFmtId="0" fontId="14" fillId="2" borderId="35" xfId="0" applyFont="1" applyFill="1" applyBorder="1" applyAlignment="1" applyProtection="1">
      <alignment horizontal="center"/>
      <protection locked="0"/>
    </xf>
    <xf numFmtId="0" fontId="14" fillId="3" borderId="36" xfId="0" applyFont="1" applyFill="1" applyBorder="1" applyAlignment="1" applyProtection="1">
      <alignment horizontal="center"/>
      <protection locked="0"/>
    </xf>
    <xf numFmtId="0" fontId="14" fillId="3" borderId="37" xfId="0" applyFont="1" applyFill="1" applyBorder="1" applyAlignment="1" applyProtection="1">
      <alignment horizontal="center"/>
      <protection locked="0"/>
    </xf>
    <xf numFmtId="0" fontId="14" fillId="3" borderId="20" xfId="0" applyFont="1" applyFill="1" applyBorder="1" applyAlignment="1" applyProtection="1">
      <alignment horizontal="center"/>
      <protection locked="0"/>
    </xf>
    <xf numFmtId="0" fontId="14" fillId="2" borderId="40" xfId="0" applyFont="1" applyFill="1" applyBorder="1" applyAlignment="1" applyProtection="1">
      <alignment horizontal="center"/>
      <protection locked="0"/>
    </xf>
    <xf numFmtId="0" fontId="14" fillId="2" borderId="12" xfId="0" applyFont="1" applyFill="1" applyBorder="1" applyAlignment="1" applyProtection="1">
      <alignment horizontal="center"/>
      <protection locked="0"/>
    </xf>
    <xf numFmtId="0" fontId="14" fillId="3" borderId="12" xfId="0" applyFont="1" applyFill="1" applyBorder="1" applyAlignment="1" applyProtection="1">
      <alignment horizontal="center"/>
      <protection locked="0"/>
    </xf>
    <xf numFmtId="0" fontId="14" fillId="3" borderId="0" xfId="0" applyFont="1" applyFill="1" applyBorder="1" applyAlignment="1" applyProtection="1">
      <alignment horizontal="center"/>
      <protection locked="0"/>
    </xf>
    <xf numFmtId="0" fontId="14" fillId="2" borderId="42" xfId="0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" fillId="0" borderId="26" xfId="2" applyFill="1" applyBorder="1" applyAlignment="1" applyProtection="1">
      <alignment horizontal="left" vertical="center" wrapText="1"/>
      <protection locked="0"/>
    </xf>
    <xf numFmtId="0" fontId="0" fillId="0" borderId="0" xfId="0" applyBorder="1" applyAlignment="1">
      <alignment horizontal="left" vertical="top" wrapText="1"/>
    </xf>
    <xf numFmtId="0" fontId="2" fillId="0" borderId="0" xfId="2" applyFill="1" applyBorder="1" applyAlignment="1" applyProtection="1">
      <alignment horizontal="left" vertical="center" wrapText="1"/>
      <protection locked="0"/>
    </xf>
    <xf numFmtId="0" fontId="2" fillId="0" borderId="0" xfId="2" applyFill="1" applyBorder="1" applyAlignment="1" applyProtection="1">
      <alignment horizontal="left" vertical="center"/>
      <protection locked="0"/>
    </xf>
    <xf numFmtId="0" fontId="17" fillId="0" borderId="0" xfId="0" applyFont="1"/>
    <xf numFmtId="0" fontId="17" fillId="0" borderId="14" xfId="0" applyFont="1" applyBorder="1" applyAlignment="1">
      <alignment horizontal="left" vertical="center" wrapText="1"/>
    </xf>
    <xf numFmtId="0" fontId="17" fillId="0" borderId="0" xfId="0" applyFont="1" applyBorder="1" applyAlignment="1">
      <alignment horizontal="left" vertical="center" wrapText="1"/>
    </xf>
    <xf numFmtId="0" fontId="20" fillId="0" borderId="34" xfId="0" applyFont="1" applyFill="1" applyBorder="1" applyAlignment="1" applyProtection="1">
      <alignment horizontal="left" vertical="center" wrapText="1"/>
    </xf>
    <xf numFmtId="0" fontId="19" fillId="0" borderId="44" xfId="0" applyFont="1" applyBorder="1" applyAlignment="1">
      <alignment horizontal="left" vertical="top" wrapText="1"/>
    </xf>
    <xf numFmtId="0" fontId="19" fillId="0" borderId="45" xfId="0" applyFont="1" applyBorder="1" applyAlignment="1">
      <alignment horizontal="left" vertical="top" wrapText="1"/>
    </xf>
    <xf numFmtId="0" fontId="19" fillId="0" borderId="46" xfId="0" applyFont="1" applyBorder="1" applyAlignment="1">
      <alignment vertical="top"/>
    </xf>
    <xf numFmtId="0" fontId="29" fillId="0" borderId="4" xfId="0" applyFont="1" applyBorder="1" applyAlignment="1">
      <alignment horizontal="center" vertical="center"/>
    </xf>
    <xf numFmtId="0" fontId="21" fillId="0" borderId="11" xfId="0" applyFont="1" applyBorder="1" applyAlignment="1">
      <alignment horizontal="left" vertical="top" wrapText="1"/>
    </xf>
    <xf numFmtId="0" fontId="2" fillId="0" borderId="43" xfId="2" applyBorder="1" applyAlignment="1">
      <alignment horizontal="left" vertical="center" wrapText="1"/>
    </xf>
    <xf numFmtId="0" fontId="29" fillId="0" borderId="4" xfId="0" applyFont="1" applyBorder="1" applyAlignment="1">
      <alignment horizontal="center" vertical="center"/>
    </xf>
    <xf numFmtId="0" fontId="17" fillId="0" borderId="0" xfId="0" applyFont="1" applyBorder="1"/>
    <xf numFmtId="0" fontId="29" fillId="0" borderId="47" xfId="0" applyFont="1" applyBorder="1" applyAlignment="1">
      <alignment horizontal="center" vertical="center"/>
    </xf>
    <xf numFmtId="0" fontId="2" fillId="0" borderId="0" xfId="2" applyBorder="1" applyAlignment="1" applyProtection="1">
      <alignment horizontal="left" vertical="center"/>
      <protection locked="0"/>
    </xf>
    <xf numFmtId="0" fontId="2" fillId="0" borderId="0" xfId="2"/>
    <xf numFmtId="0" fontId="29" fillId="0" borderId="0" xfId="0" applyFont="1" applyBorder="1" applyAlignment="1">
      <alignment horizontal="center" vertical="center"/>
    </xf>
    <xf numFmtId="0" fontId="17" fillId="0" borderId="44" xfId="0" applyFont="1" applyBorder="1" applyAlignment="1">
      <alignment horizontal="left" vertical="center" wrapText="1"/>
    </xf>
    <xf numFmtId="0" fontId="0" fillId="0" borderId="45" xfId="0" applyBorder="1" applyAlignment="1">
      <alignment horizontal="left" vertical="top" wrapText="1"/>
    </xf>
    <xf numFmtId="0" fontId="2" fillId="0" borderId="46" xfId="2" applyFill="1" applyBorder="1" applyAlignment="1" applyProtection="1">
      <alignment horizontal="left" vertical="center" wrapText="1"/>
      <protection locked="0"/>
    </xf>
    <xf numFmtId="0" fontId="19" fillId="0" borderId="32" xfId="0" applyFont="1" applyBorder="1" applyAlignment="1">
      <alignment horizontal="left" vertical="top" wrapText="1"/>
    </xf>
    <xf numFmtId="0" fontId="19" fillId="0" borderId="33" xfId="0" applyFont="1" applyBorder="1" applyAlignment="1">
      <alignment horizontal="left" vertical="top" wrapText="1"/>
    </xf>
    <xf numFmtId="0" fontId="19" fillId="0" borderId="48" xfId="0" applyFont="1" applyBorder="1" applyAlignment="1">
      <alignment vertical="top"/>
    </xf>
    <xf numFmtId="0" fontId="29" fillId="0" borderId="21" xfId="0" applyFont="1" applyBorder="1" applyAlignment="1">
      <alignment horizontal="center" vertical="center"/>
    </xf>
    <xf numFmtId="0" fontId="1" fillId="0" borderId="0" xfId="1" applyBorder="1" applyAlignment="1" applyProtection="1">
      <alignment horizontal="left" vertical="top"/>
      <protection locked="0"/>
    </xf>
    <xf numFmtId="0" fontId="9" fillId="0" borderId="0" xfId="0" applyFont="1" applyBorder="1" applyAlignment="1" applyProtection="1">
      <alignment horizontal="center"/>
      <protection locked="0"/>
    </xf>
    <xf numFmtId="0" fontId="15" fillId="0" borderId="8" xfId="1" applyFont="1" applyFill="1" applyBorder="1" applyAlignment="1" applyProtection="1">
      <alignment horizontal="center"/>
      <protection locked="0"/>
    </xf>
    <xf numFmtId="0" fontId="15" fillId="0" borderId="7" xfId="1" applyFont="1" applyFill="1" applyBorder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1" applyFont="1" applyFill="1" applyBorder="1" applyAlignment="1" applyProtection="1">
      <alignment horizontal="center"/>
      <protection locked="0"/>
    </xf>
    <xf numFmtId="0" fontId="9" fillId="0" borderId="7" xfId="1" applyFont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center"/>
      <protection locked="0"/>
    </xf>
    <xf numFmtId="0" fontId="15" fillId="0" borderId="10" xfId="1" applyFont="1" applyBorder="1" applyAlignment="1" applyProtection="1">
      <alignment horizontal="center" vertical="top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" fillId="0" borderId="0" xfId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/>
      <protection locked="0"/>
    </xf>
    <xf numFmtId="0" fontId="1" fillId="6" borderId="0" xfId="0" applyFont="1" applyFill="1" applyBorder="1" applyAlignment="1" applyProtection="1">
      <alignment horizontal="center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1" fillId="4" borderId="0" xfId="1" applyFill="1" applyBorder="1" applyAlignment="1" applyProtection="1">
      <alignment horizontal="center" vertical="center"/>
      <protection locked="0"/>
    </xf>
    <xf numFmtId="0" fontId="1" fillId="6" borderId="0" xfId="1" applyFill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0" fontId="15" fillId="0" borderId="10" xfId="1" applyFont="1" applyBorder="1" applyAlignment="1" applyProtection="1">
      <alignment horizontal="center" vertical="center"/>
      <protection locked="0"/>
    </xf>
    <xf numFmtId="0" fontId="16" fillId="0" borderId="4" xfId="0" applyFont="1" applyBorder="1" applyAlignment="1" applyProtection="1">
      <alignment horizontal="center" vertical="center"/>
      <protection locked="0"/>
    </xf>
    <xf numFmtId="0" fontId="28" fillId="0" borderId="10" xfId="1" applyFont="1" applyBorder="1" applyAlignment="1" applyProtection="1">
      <alignment horizontal="center" vertical="center"/>
      <protection locked="0"/>
    </xf>
    <xf numFmtId="0" fontId="28" fillId="0" borderId="10" xfId="1" applyFont="1" applyBorder="1" applyAlignment="1" applyProtection="1">
      <alignment horizontal="center" vertical="top"/>
      <protection locked="0"/>
    </xf>
    <xf numFmtId="0" fontId="16" fillId="0" borderId="4" xfId="0" applyFont="1" applyBorder="1" applyProtection="1">
      <protection locked="0"/>
    </xf>
    <xf numFmtId="0" fontId="16" fillId="0" borderId="0" xfId="0" applyFont="1" applyBorder="1" applyProtection="1"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15" fillId="0" borderId="0" xfId="0" applyFont="1" applyBorder="1" applyAlignment="1" applyProtection="1">
      <alignment horizontal="center" vertical="center"/>
      <protection locked="0"/>
    </xf>
    <xf numFmtId="0" fontId="27" fillId="0" borderId="0" xfId="0" applyFont="1" applyBorder="1" applyAlignment="1" applyProtection="1">
      <alignment horizontal="center"/>
      <protection locked="0"/>
    </xf>
    <xf numFmtId="0" fontId="27" fillId="0" borderId="0" xfId="0" applyFont="1" applyBorder="1" applyProtection="1"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15" fillId="0" borderId="17" xfId="1" applyFont="1" applyBorder="1" applyAlignment="1" applyProtection="1">
      <alignment horizontal="center" vertical="top"/>
      <protection locked="0"/>
    </xf>
    <xf numFmtId="0" fontId="31" fillId="0" borderId="0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1" fillId="0" borderId="16" xfId="1" applyBorder="1" applyAlignment="1" applyProtection="1">
      <alignment horizontal="center" vertical="top"/>
      <protection locked="0"/>
    </xf>
    <xf numFmtId="0" fontId="1" fillId="0" borderId="16" xfId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top"/>
      <protection locked="0"/>
    </xf>
    <xf numFmtId="0" fontId="1" fillId="0" borderId="10" xfId="1" applyBorder="1" applyAlignment="1" applyProtection="1">
      <alignment horizontal="center" vertical="center"/>
      <protection locked="0"/>
    </xf>
    <xf numFmtId="0" fontId="1" fillId="0" borderId="10" xfId="1" applyBorder="1" applyAlignment="1" applyProtection="1">
      <alignment horizontal="center" vertical="top"/>
      <protection locked="0"/>
    </xf>
    <xf numFmtId="0" fontId="1" fillId="0" borderId="10" xfId="1" applyFill="1" applyBorder="1" applyAlignment="1" applyProtection="1">
      <alignment vertical="top" wrapText="1"/>
      <protection locked="0"/>
    </xf>
    <xf numFmtId="0" fontId="1" fillId="0" borderId="10" xfId="1" applyFill="1" applyBorder="1" applyAlignment="1" applyProtection="1">
      <alignment horizontal="center" vertical="top"/>
      <protection locked="0"/>
    </xf>
    <xf numFmtId="0" fontId="32" fillId="0" borderId="13" xfId="0" applyFont="1" applyFill="1" applyBorder="1" applyAlignment="1" applyProtection="1">
      <alignment horizontal="center" vertical="center"/>
      <protection locked="0"/>
    </xf>
    <xf numFmtId="0" fontId="32" fillId="0" borderId="14" xfId="0" applyFont="1" applyFill="1" applyBorder="1" applyAlignment="1" applyProtection="1">
      <alignment horizontal="center" vertical="center"/>
      <protection locked="0"/>
    </xf>
    <xf numFmtId="0" fontId="32" fillId="0" borderId="15" xfId="0" applyFont="1" applyFill="1" applyBorder="1" applyAlignment="1" applyProtection="1">
      <alignment horizontal="center" vertical="center"/>
      <protection locked="0"/>
    </xf>
    <xf numFmtId="0" fontId="32" fillId="0" borderId="16" xfId="0" applyFont="1" applyFill="1" applyBorder="1" applyAlignment="1" applyProtection="1">
      <alignment horizontal="center" vertical="center"/>
      <protection locked="0"/>
    </xf>
    <xf numFmtId="0" fontId="32" fillId="0" borderId="0" xfId="0" applyFont="1" applyFill="1" applyBorder="1" applyAlignment="1" applyProtection="1">
      <alignment horizontal="center" vertical="center"/>
      <protection locked="0"/>
    </xf>
    <xf numFmtId="0" fontId="32" fillId="0" borderId="17" xfId="0" applyFont="1" applyFill="1" applyBorder="1" applyAlignment="1" applyProtection="1">
      <alignment horizontal="center" vertical="center"/>
      <protection locked="0"/>
    </xf>
    <xf numFmtId="0" fontId="32" fillId="0" borderId="18" xfId="0" applyFont="1" applyFill="1" applyBorder="1" applyAlignment="1" applyProtection="1">
      <alignment horizontal="center" vertical="center"/>
      <protection locked="0"/>
    </xf>
    <xf numFmtId="0" fontId="32" fillId="0" borderId="19" xfId="0" applyFont="1" applyFill="1" applyBorder="1" applyAlignment="1" applyProtection="1">
      <alignment horizontal="center" vertical="center"/>
      <protection locked="0"/>
    </xf>
    <xf numFmtId="0" fontId="32" fillId="0" borderId="20" xfId="0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1" fillId="0" borderId="0" xfId="1" applyFill="1" applyBorder="1" applyAlignment="1" applyProtection="1">
      <alignment horizontal="center" vertical="top"/>
      <protection locked="0"/>
    </xf>
    <xf numFmtId="0" fontId="8" fillId="0" borderId="0" xfId="0" applyFont="1" applyFill="1" applyBorder="1" applyProtection="1"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2" fillId="0" borderId="8" xfId="2" applyBorder="1" applyAlignment="1" applyProtection="1">
      <alignment horizontal="center"/>
    </xf>
    <xf numFmtId="0" fontId="11" fillId="7" borderId="8" xfId="0" applyFont="1" applyFill="1" applyBorder="1" applyAlignment="1" applyProtection="1">
      <alignment horizontal="center"/>
    </xf>
    <xf numFmtId="0" fontId="11" fillId="7" borderId="2" xfId="0" applyFont="1" applyFill="1" applyBorder="1" applyAlignment="1" applyProtection="1">
      <alignment horizontal="center"/>
    </xf>
    <xf numFmtId="0" fontId="11" fillId="7" borderId="10" xfId="0" applyFont="1" applyFill="1" applyBorder="1" applyAlignment="1" applyProtection="1">
      <alignment horizontal="center"/>
    </xf>
    <xf numFmtId="0" fontId="26" fillId="0" borderId="6" xfId="0" applyFont="1" applyBorder="1" applyAlignment="1" applyProtection="1">
      <alignment horizontal="center" vertical="center"/>
    </xf>
    <xf numFmtId="0" fontId="9" fillId="0" borderId="11" xfId="1" applyFont="1" applyBorder="1" applyAlignment="1" applyProtection="1">
      <alignment horizontal="center" vertical="center"/>
    </xf>
    <xf numFmtId="0" fontId="23" fillId="0" borderId="11" xfId="1" applyFont="1" applyBorder="1" applyAlignment="1" applyProtection="1">
      <alignment horizontal="center" vertical="center"/>
    </xf>
    <xf numFmtId="0" fontId="26" fillId="0" borderId="5" xfId="0" applyFont="1" applyFill="1" applyBorder="1" applyAlignment="1" applyProtection="1">
      <alignment horizontal="center" vertical="center"/>
    </xf>
    <xf numFmtId="0" fontId="27" fillId="0" borderId="3" xfId="0" applyFont="1" applyBorder="1" applyAlignment="1" applyProtection="1">
      <alignment horizontal="center" vertical="center"/>
    </xf>
    <xf numFmtId="0" fontId="1" fillId="0" borderId="9" xfId="1" applyBorder="1" applyAlignment="1" applyProtection="1">
      <alignment horizontal="center" vertical="center"/>
      <protection locked="0"/>
    </xf>
    <xf numFmtId="164" fontId="24" fillId="0" borderId="9" xfId="1" applyNumberFormat="1" applyFont="1" applyBorder="1" applyAlignment="1" applyProtection="1">
      <alignment horizontal="center" vertical="center" wrapText="1"/>
    </xf>
    <xf numFmtId="164" fontId="27" fillId="0" borderId="49" xfId="0" applyNumberFormat="1" applyFont="1" applyBorder="1" applyAlignment="1" applyProtection="1">
      <alignment horizontal="center" vertical="center"/>
    </xf>
    <xf numFmtId="0" fontId="26" fillId="0" borderId="6" xfId="0" applyFont="1" applyBorder="1" applyAlignment="1" applyProtection="1">
      <alignment horizontal="center"/>
    </xf>
    <xf numFmtId="0" fontId="26" fillId="0" borderId="11" xfId="0" applyFont="1" applyBorder="1" applyAlignment="1" applyProtection="1">
      <alignment horizontal="center"/>
    </xf>
    <xf numFmtId="0" fontId="26" fillId="0" borderId="5" xfId="0" applyFont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 vertical="center"/>
      <protection locked="0"/>
    </xf>
    <xf numFmtId="0" fontId="1" fillId="5" borderId="0" xfId="1" applyFill="1" applyBorder="1" applyAlignment="1" applyProtection="1">
      <alignment horizontal="center" vertical="center"/>
      <protection locked="0"/>
    </xf>
    <xf numFmtId="0" fontId="9" fillId="8" borderId="14" xfId="0" applyFont="1" applyFill="1" applyBorder="1" applyAlignment="1" applyProtection="1">
      <alignment horizontal="center" vertical="center"/>
      <protection locked="0"/>
    </xf>
    <xf numFmtId="0" fontId="25" fillId="8" borderId="14" xfId="1" applyFont="1" applyFill="1" applyBorder="1" applyAlignment="1" applyProtection="1">
      <alignment horizontal="center" vertical="center"/>
      <protection locked="0"/>
    </xf>
    <xf numFmtId="0" fontId="25" fillId="8" borderId="15" xfId="0" applyFont="1" applyFill="1" applyBorder="1" applyAlignment="1" applyProtection="1">
      <alignment horizontal="center" vertical="center"/>
      <protection locked="0"/>
    </xf>
    <xf numFmtId="0" fontId="9" fillId="8" borderId="8" xfId="0" applyFont="1" applyFill="1" applyBorder="1" applyAlignment="1" applyProtection="1">
      <alignment horizontal="center" vertical="center"/>
      <protection locked="0"/>
    </xf>
    <xf numFmtId="0" fontId="9" fillId="8" borderId="2" xfId="0" applyFont="1" applyFill="1" applyBorder="1" applyAlignment="1" applyProtection="1">
      <alignment horizontal="center" vertical="center"/>
      <protection locked="0"/>
    </xf>
    <xf numFmtId="0" fontId="31" fillId="8" borderId="2" xfId="0" applyFont="1" applyFill="1" applyBorder="1" applyAlignment="1" applyProtection="1">
      <alignment horizontal="center" vertical="center"/>
      <protection locked="0"/>
    </xf>
    <xf numFmtId="0" fontId="31" fillId="8" borderId="7" xfId="0" applyFont="1" applyFill="1" applyBorder="1" applyAlignment="1" applyProtection="1">
      <alignment horizontal="center" vertical="center"/>
      <protection locked="0"/>
    </xf>
    <xf numFmtId="0" fontId="1" fillId="5" borderId="0" xfId="1" applyFill="1" applyAlignment="1" applyProtection="1">
      <alignment horizontal="center" vertical="center"/>
      <protection locked="0"/>
    </xf>
    <xf numFmtId="0" fontId="15" fillId="0" borderId="0" xfId="1" applyFont="1" applyFill="1" applyAlignment="1" applyProtection="1">
      <alignment horizontal="center" vertical="top"/>
      <protection locked="0"/>
    </xf>
    <xf numFmtId="0" fontId="15" fillId="0" borderId="17" xfId="1" applyFont="1" applyFill="1" applyBorder="1" applyAlignment="1" applyProtection="1">
      <alignment horizontal="center" vertical="top"/>
      <protection locked="0"/>
    </xf>
    <xf numFmtId="0" fontId="1" fillId="0" borderId="0" xfId="1" applyFill="1" applyAlignment="1" applyProtection="1">
      <alignment horizontal="center" vertical="top"/>
      <protection locked="0"/>
    </xf>
    <xf numFmtId="0" fontId="24" fillId="0" borderId="0" xfId="1" applyFont="1" applyFill="1" applyAlignment="1" applyProtection="1">
      <alignment horizontal="center" vertical="top"/>
      <protection locked="0"/>
    </xf>
    <xf numFmtId="0" fontId="12" fillId="0" borderId="21" xfId="0" applyFont="1" applyBorder="1" applyAlignment="1" applyProtection="1">
      <alignment horizontal="center" vertical="top" wrapText="1"/>
      <protection locked="0"/>
    </xf>
    <xf numFmtId="0" fontId="12" fillId="0" borderId="22" xfId="0" applyFont="1" applyBorder="1" applyAlignment="1" applyProtection="1">
      <alignment horizontal="center" vertical="top" wrapText="1"/>
      <protection locked="0"/>
    </xf>
    <xf numFmtId="0" fontId="12" fillId="0" borderId="23" xfId="0" applyFont="1" applyBorder="1" applyAlignment="1" applyProtection="1">
      <alignment horizontal="center" vertical="top" wrapText="1"/>
      <protection locked="0"/>
    </xf>
    <xf numFmtId="0" fontId="0" fillId="0" borderId="38" xfId="0" applyBorder="1" applyAlignment="1" applyProtection="1">
      <alignment horizontal="center" vertical="center" wrapText="1"/>
      <protection locked="0"/>
    </xf>
    <xf numFmtId="0" fontId="0" fillId="0" borderId="41" xfId="0" applyBorder="1" applyAlignment="1" applyProtection="1">
      <alignment horizontal="center" vertical="center" wrapText="1"/>
      <protection locked="0"/>
    </xf>
    <xf numFmtId="0" fontId="0" fillId="0" borderId="39" xfId="0" applyBorder="1" applyAlignment="1" applyProtection="1">
      <alignment horizontal="center" vertical="center" wrapText="1"/>
      <protection locked="0"/>
    </xf>
    <xf numFmtId="0" fontId="29" fillId="0" borderId="38" xfId="0" applyFont="1" applyBorder="1" applyAlignment="1">
      <alignment horizontal="center" vertical="center"/>
    </xf>
    <xf numFmtId="0" fontId="29" fillId="0" borderId="39" xfId="0" applyFont="1" applyBorder="1" applyAlignment="1">
      <alignment horizontal="center" vertical="center"/>
    </xf>
    <xf numFmtId="0" fontId="29" fillId="0" borderId="41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61">
    <dxf>
      <fill>
        <gradientFill degree="90">
          <stop position="0">
            <color theme="0"/>
          </stop>
          <stop position="0.5">
            <color rgb="FF61D6FF"/>
          </stop>
          <stop position="1">
            <color theme="0"/>
          </stop>
        </gradientFill>
      </fill>
      <border>
        <left/>
        <right/>
        <top/>
        <bottom/>
      </border>
    </dxf>
    <dxf>
      <fill>
        <gradientFill degree="90">
          <stop position="0">
            <color theme="0"/>
          </stop>
          <stop position="0.5">
            <color rgb="FF61D6FF"/>
          </stop>
          <stop position="1">
            <color theme="0"/>
          </stop>
        </gradientFill>
      </fill>
      <border>
        <left/>
        <right/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Arial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Arial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rgb="FFF0F4FA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rgb="FFF0F4FA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rgb="FF9C0000"/>
      </font>
      <fill>
        <patternFill patternType="solid">
          <fgColor auto="1"/>
          <bgColor rgb="FFFFC7CE"/>
        </patternFill>
      </fill>
    </dxf>
    <dxf>
      <fill>
        <gradientFill degree="90">
          <stop position="0">
            <color theme="0"/>
          </stop>
          <stop position="0.5">
            <color rgb="FF61D6FF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61D6FF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61D6FF"/>
          </stop>
          <stop position="1">
            <color theme="0"/>
          </stop>
        </gradientFill>
      </fill>
    </dxf>
    <dxf>
      <font>
        <b/>
        <i val="0"/>
        <color rgb="FF11C1FF"/>
      </font>
      <fill>
        <patternFill>
          <bgColor theme="0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Arial"/>
        <family val="2"/>
        <scheme val="none"/>
      </font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Arial"/>
        <family val="2"/>
        <scheme val="none"/>
      </font>
      <alignment horizontal="center" vertical="top" textRotation="0" wrapText="0" indent="0" justifyLastLine="0" shrinkToFit="0" readingOrder="0"/>
      <protection locked="0" hidden="0"/>
    </dxf>
    <dxf>
      <alignment horizontal="center" vertical="top" textRotation="0" wrapText="0" indent="0" justifyLastLine="0" shrinkToFit="0" readingOrder="0"/>
      <protection locked="0" hidden="0"/>
    </dxf>
    <dxf>
      <alignment horizontal="center" vertical="top" textRotation="0" wrapText="0" indent="0" justifyLastLine="0" shrinkToFit="0" readingOrder="0"/>
      <protection locked="0" hidden="0"/>
    </dxf>
    <dxf>
      <alignment horizontal="center" vertical="top" textRotation="0" wrapText="0" indent="0" justifyLastLine="0" shrinkToFit="0" readingOrder="0"/>
      <protection locked="0" hidden="0"/>
    </dxf>
    <dxf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Arial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Arial"/>
        <family val="2"/>
        <scheme val="none"/>
      </font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Arial"/>
        <family val="2"/>
        <scheme val="none"/>
      </font>
      <alignment horizontal="center" vertical="top" textRotation="0" wrapText="0" indent="0" justifyLastLine="0" shrinkToFit="0" readingOrder="0"/>
      <protection locked="0" hidden="0"/>
    </dxf>
    <dxf>
      <fill>
        <patternFill patternType="solid">
          <fgColor indexed="64"/>
          <bgColor rgb="FFECF1F8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left style="medium">
          <color indexed="64"/>
        </left>
        <right style="thin">
          <color indexed="64"/>
        </right>
      </border>
    </dxf>
    <dxf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11C1FF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theme="0"/>
          </stop>
          <stop position="0.5">
            <color rgb="FF61D6FF"/>
          </stop>
          <stop position="1">
            <color theme="0"/>
          </stop>
        </gradient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numFmt numFmtId="164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Arial"/>
        <family val="2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Medium9"/>
  <colors>
    <mruColors>
      <color rgb="FFBDEEFF"/>
      <color rgb="FF61D6FF"/>
      <color rgb="FF11C1FF"/>
      <color rgb="FFFFFF99"/>
      <color rgb="FFFFC7CE"/>
      <color rgb="FFFF0066"/>
      <color rgb="FFABE9FF"/>
      <color rgb="FF9C0000"/>
      <color rgb="FF9C0006"/>
      <color rgb="FFFEBE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 sz="1800" b="1" i="0" u="none" strike="noStrike" baseline="0">
                <a:effectLst/>
              </a:rPr>
              <a:t>Grid for an manual location entry  (Optional)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251572327044023E-2"/>
          <c:y val="5.6903988348981763E-2"/>
          <c:w val="0.90241280731846774"/>
          <c:h val="0.89848468587552532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9D9350-FFB3-4CDF-BF9F-61806720762E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46AC-45AC-997E-865ED8066A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C301CD-78CE-4D48-A2DD-B95C8D87F1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AC-45AC-997E-865ED8066A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6164DF-3F72-4E9C-ACFA-71470E9AFA9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AC-45AC-997E-865ED8066A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07E873-B9A9-4B4C-B5B7-8B6ABDB9115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AC-45AC-997E-865ED8066A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DFF91A-5703-4D49-A25B-91F6C75828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AC-45AC-997E-865ED8066A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695E4A-945E-4403-8C42-2ABC5D67E48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AC-45AC-997E-865ED8066A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1C972AF-E4E9-4ED2-96B5-817FAF27B83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AC-45AC-997E-865ED8066A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0D412F-626B-4E51-A52C-E3F4E99E4AC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AC-45AC-997E-865ED8066A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AF1ACD-8F47-4B2A-9E82-4B6DAAAF40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AC-45AC-997E-865ED8066A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57CFCA4-C683-4FEA-B151-D2C86C16BB2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AC-45AC-997E-865ED8066A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DB26D7-DC4F-4F72-8384-70F61CA864E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AC-45AC-997E-865ED8066A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47BDED-FF5E-4E43-BA43-23F5FD11CF5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AC-45AC-997E-865ED8066A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BA0DFF-B7BE-4EB3-BC5F-2ED4582538E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AC-45AC-997E-865ED8066A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71CAAD-3348-4F0E-ABAF-AEC6B37A5CA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AC-45AC-997E-865ED8066A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64F64C-E2AB-49C7-9AA9-D6134356B84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AC-45AC-997E-865ED8066A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34A016-A926-4397-8F76-57FEEA9176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AC-45AC-997E-865ED8066A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A03B6E-453B-4B9C-B0B6-68D201C94EF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AC-45AC-997E-865ED8066A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CD6FF6D-1E10-4047-BB9E-36FC933CA3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AC-45AC-997E-865ED8066A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E4D6970-0E52-4D5E-8C29-9E2DAED392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AC-45AC-997E-865ED8066A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02E7971-63A6-4081-BBBA-E5A11E74450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AC-45AC-997E-865ED8066A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4AAF47-1F5D-4AF4-8331-6242DDE29C5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AC-45AC-997E-865ED8066A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F76DE2-65CF-4FEA-BCDB-F4550432392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AC-45AC-997E-865ED8066A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C32BD27-C785-4908-A773-1D72101B4BE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AC-45AC-997E-865ED8066A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1351742-4A31-4931-ADD6-D301BC4B605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AC-45AC-997E-865ED8066A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97D024C-E1E4-4828-A726-8A1B000976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AC-45AC-997E-865ED8066A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E90636E-9B3D-4E40-8191-7D28FB9711B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AC-45AC-997E-865ED8066A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2FA3145-95AE-403F-A6E2-20E0AFE778C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AC-45AC-997E-865ED8066A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37F12F8-A0F4-4CC2-9650-39719E2296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AC-45AC-997E-865ED8066A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1822848-7AD7-4376-9CCD-A71329D4CC2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AC-45AC-997E-865ED8066A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3B335A-90A0-4C65-A98B-E8756A376B8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AC-45AC-997E-865ED8066A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06C078-E1D8-46D2-BCA1-6BB77797276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AC-45AC-997E-865ED8066A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0A06574-DB84-4267-AB19-D7834A4E927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AC-45AC-997E-865ED8066A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65C46FD-6F73-4D98-AFA3-557E3B8A66B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AC-45AC-997E-865ED8066A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F379BA-B0D9-4FFC-B17B-F8638970F5F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AC-45AC-997E-865ED8066A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D527A5D-729A-4C39-A633-82C52E95D04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AC-45AC-997E-865ED8066A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CC8E868-A40C-4274-A85B-4239A745D4B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AC-45AC-997E-865ED8066A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B67630-5074-4B89-9A72-20E02007473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AC-45AC-997E-865ED8066A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F44ED77-5368-439E-99CC-AA16D4A0065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AC-45AC-997E-865ED8066A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07CB201-33B2-4036-8FF0-A4572CC8D31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AC-45AC-997E-865ED8066A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FA8BFBD-32DB-47F2-8968-1DFA8B756A2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AC-45AC-997E-865ED8066A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702E239-B368-4F56-867B-59C5F7A93D7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AC-45AC-997E-865ED8066A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6B3450-8C65-4551-B7E9-4BDC8AADD01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AC-45AC-997E-865ED8066A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2B94FD-682F-44D8-B92E-B67D1F445CC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AC-45AC-997E-865ED8066A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29D248-F6FB-4629-A706-54AA777D7B8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AC-45AC-997E-865ED8066A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7965A2C-3875-43DF-A154-B494E5A1A3F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AC-45AC-997E-865ED8066A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913174E-E550-4EDF-AAF8-2CC654E563B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AC-45AC-997E-865ED8066A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E08BA03-097E-43D1-B3E9-36EEB64BA26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AC-45AC-997E-865ED8066A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28EB3E-A930-4B51-8852-163EC1B346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AC-45AC-997E-865ED8066A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A2DD8C-CE6C-4124-9739-0535AF0E743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AC-45AC-997E-865ED8066A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83CC60-E028-48E8-BABD-C7C909EECA5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AC-45AC-997E-865ED8066A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134DB12-A7A2-4652-9E9C-442806B14D2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AC-45AC-997E-865ED8066A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091131E-CB0A-40D1-B27F-F3B67B4470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AC-45AC-997E-865ED8066A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D842DE-1D51-4DBF-BF28-EF4F015F00B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AC-45AC-997E-865ED8066A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BDEED65-B80F-459B-80AE-691F9A6BAB6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AC-45AC-997E-865ED8066A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AAA8D27-4DE3-4B14-9760-E9120090FA8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AC-45AC-997E-865ED8066A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DDD5F56-CDF1-4A87-8408-808F9DCD4A2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AC-45AC-997E-865ED8066A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360A11-A9F1-434E-B93D-3CA3543F3AC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AC-45AC-997E-865ED8066A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55FB343-D41F-4CFA-81EF-47F024A8091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AC-45AC-997E-865ED8066A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9635620-8306-4803-B67B-367C8160AB3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AC-45AC-997E-865ED8066A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E7E30F-172B-49DE-99EF-D4482CF7E1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AC-45AC-997E-865ED8066A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02B0C4F-69D1-4A6A-9C71-3395C3C2871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AC-45AC-997E-865ED8066A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3FA61AD-A59D-46BE-8D32-6FF1C48034C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AC-45AC-997E-865ED8066A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B00DC2B-E49A-4AC5-980A-02D830E79C6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AC-45AC-997E-865ED8066A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AC6FAB5-4E2B-491C-A6E4-DE40F9C7760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AC-45AC-997E-865ED8066A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EAAF8A-7A39-4936-8898-23D36D23B6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AC-45AC-997E-865ED8066A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E21257-0924-4CEA-9438-D6754FEBFE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AC-45AC-997E-865ED8066A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5331278-CCED-4EFF-B44B-E15C894D51C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AC-45AC-997E-865ED8066A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C6C3AC9-BB54-4ABE-BD24-7DCE718AE1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AC-45AC-997E-865ED8066A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FF9A969-2C44-425A-AD8D-691FBC97B00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AC-45AC-997E-865ED8066A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9D6D76D-C98E-467C-976D-F38259D6130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AC-45AC-997E-865ED8066A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E09C592-CDD4-4BF1-8284-1CCF3339829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AC-45AC-997E-865ED8066A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07F2FB9-3E20-4DFC-87E2-9172591584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AC-45AC-997E-865ED8066A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BCE621-5A15-44B9-8CFF-3554B08220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AC-45AC-997E-865ED8066A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539FECC-5826-44F9-B452-7F9E171BB57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AC-45AC-997E-865ED8066A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CC84CEC-31E3-4978-8B2A-43B4287BBC1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AC-45AC-997E-865ED8066A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B9C4529-D51A-4572-BC97-6288FD2764B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AC-45AC-997E-865ED8066A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2ED4C3C-51E0-4C92-973F-8AE1F04414F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AC-45AC-997E-865ED8066A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F5D6D4-9BFE-426D-B60C-C7B02F46DC0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AC-45AC-997E-865ED8066A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F582A85-AEAC-4EAF-BA9E-9FD56D4D80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AC-45AC-997E-865ED8066A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ACB9446-113C-45AF-A8EA-6DA5B2FCD6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AC-45AC-997E-865ED8066A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B2C700-89B6-484A-A93A-026D1E6B07F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AC-45AC-997E-865ED8066A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44E44AA-DFB8-42CD-8D46-C05AF4458B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AC-45AC-997E-865ED8066A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4453E80-2759-485E-BA18-A74152ADE0F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AC-45AC-997E-865ED8066A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6934941-AFF8-464A-BFF3-DE72E055711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AC-45AC-997E-865ED8066A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AFBE27A-C4A0-4C32-9A19-79FE3586484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AC-45AC-997E-865ED8066A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6769501-F4E4-4DF6-A77B-F7B05FFDE3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AC-45AC-997E-865ED8066A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50FD236-E594-4BAF-8B3F-28BD91744CC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AC-45AC-997E-865ED8066A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BD74986-BF78-4C09-BA00-9C83D20135A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AC-45AC-997E-865ED8066A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91F5850-090C-4745-A64A-12DFD5DE734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AC-45AC-997E-865ED8066A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B44C28B-DE5B-419B-8434-A8FD72D5290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AC-45AC-997E-865ED8066A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AB84BDC-EFA2-46FE-93B2-D4BB02B7DE3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AC-45AC-997E-865ED8066A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FD54BBF-7869-4978-B97B-B5B9432D3A6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AC-45AC-997E-865ED8066A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FD8DAB6-9274-45CA-A8E2-100ACD6D4D7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AC-45AC-997E-865ED8066A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2CFD1CC-D708-44EB-B89D-98A5F50E795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AC-45AC-997E-865ED8066A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CC2BE9E-36BE-4600-B510-947C9A5D587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AC-45AC-997E-865ED8066A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2494B0B-9B5D-4015-8DBA-428F43AF205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AC-45AC-997E-865ED8066A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F76B17B-C8D4-4F3F-853E-4F3A9D49581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AC-45AC-997E-865ED8066A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E9AE787-477E-45A1-82FA-B73CC454786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AC-45AC-997E-865ED8066A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9584E1-F286-4E3F-A748-ACC0F47282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AC-45AC-997E-865ED8066A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6FC387-5DD7-43FA-99F0-7E9FCE5A8D0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AC-45AC-997E-865ED8066A9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7AEB0CF-648F-44D7-AD43-76DE2197558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AC-45AC-997E-865ED8066A9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B71A2F2-8454-4A5D-943B-BF74FCD31F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AC-45AC-997E-865ED8066A9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81A11D1-4EA7-438F-9995-69E014D3C60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AC-45AC-997E-865ED8066A9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3D79483-C91E-42B6-9423-E38C871AB92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AC-45AC-997E-865ED8066A9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61D8313-4D88-41CA-9341-713458C2F0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AC-45AC-997E-865ED8066A9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EF71DE-D6E9-4725-B83B-AA85047EF23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AC-45AC-997E-865ED8066A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0F9EBD3-80FD-4D8A-A44C-635EC01F6D5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AC-45AC-997E-865ED8066A9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30C218-BB5B-440E-82B5-F5A1F731A74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AC-45AC-997E-865ED8066A9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E71FA3B-85AF-41D0-B018-BA2EDCA7CAE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AC-45AC-997E-865ED8066A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325278A-AF20-4595-AB07-B3A03ECA225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AC-45AC-997E-865ED8066A9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AFACDB0-1533-4687-9A02-EC09B92BEAD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AC-45AC-997E-865ED8066A9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6FB27DC-ABC6-41CC-8C5C-62644794C1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AC-45AC-997E-865ED8066A9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46DDEE5-BDEA-434C-9F4F-1B1136FEDA7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AC-45AC-997E-865ED8066A9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F9BAFD-8889-444A-8191-448B5927683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AC-45AC-997E-865ED8066A9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A60A10D-9560-412F-95A8-7C7E8521CD2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AC-45AC-997E-865ED8066A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CD7ADD-0886-4F2D-83DF-9AC59671624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AC-45AC-997E-865ED8066A9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4A4664E-CBF2-47E0-9964-4AF1817AEB2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AC-45AC-997E-865ED8066A9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04E4689-06C2-404A-B4AB-954EC73683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AC-45AC-997E-865ED8066A9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11FBA5-13A3-4EA8-BFFB-8A8530EB3A8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AC-45AC-997E-865ED8066A9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BB41F2A-F41F-403D-9EAF-4782C1B5E5D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AC-45AC-997E-865ED8066A9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D9F0EF4-A608-474D-BA5E-B9EE28CEE45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AC-45AC-997E-865ED8066A9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5098A7E-02A3-43A7-B54F-7701FBF9AA8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AC-45AC-997E-865ED8066A9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C2FFD45-80B1-4EBB-A8CB-50F38EC1B98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AC-45AC-997E-865ED8066A9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5E710A1-AEB6-4065-A42D-5CB6C171155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AC-45AC-997E-865ED8066A9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9B248AE-5657-4B64-83E8-79EE59BA126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AC-45AC-997E-865ED8066A9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4C31FC-42E3-408A-8D15-3436F0E2836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AC-45AC-997E-865ED8066A9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D73EC4C-4650-4ED4-B09C-DB0929262A0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AC-45AC-997E-865ED8066A9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0C418B-B6A4-4509-BC76-CB9813B4670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AC-45AC-997E-865ED8066A9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D4A5203-8169-4D76-BEC9-5899CBA2B30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AC-45AC-997E-865ED8066A9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13D3D55-E5E7-4BD3-A9B6-B5F6337DCF0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AC-45AC-997E-865ED8066A9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F203613-7FF1-4DFD-BEB8-CE1EE71D4E8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AC-45AC-997E-865ED8066A9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4C342A1-11E6-4174-ABCC-7DDA8B4232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AC-45AC-997E-865ED8066A9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B8F0E60-03C0-47EB-A452-F90C72CB7D7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AC-45AC-997E-865ED8066A9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F2251DA-1CDC-4B73-B54B-772A6EA0274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AC-45AC-997E-865ED8066A9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53EE602-E20B-4BE1-A217-3C7257A4EE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AC-45AC-997E-865ED8066A9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3F93FB2-FD60-4B8D-81D3-7A255ED1E40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AC-45AC-997E-865ED8066A9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7D4CF68-6F8D-49BA-A2EF-364D32A5BBF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AC-45AC-997E-865ED8066A9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0E23D3C-4D73-4036-804F-7E4A3FDFF47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AC-45AC-997E-865ED8066A9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7C69D7B-7968-4E94-BC00-B2BFA5625E8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AC-45AC-997E-865ED8066A9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3C34716-86CD-4853-83B8-03DF58554C9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AC-45AC-997E-865ED8066A9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AC12B32-E37E-420D-A6DF-9B81B194F7D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AC-45AC-997E-865ED8066A9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61D58B0-0AFE-4D3D-8440-3FD7A605826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AC-45AC-997E-865ED8066A9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23CEC9-E6BB-4D4D-9204-678D2F54551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AC-45AC-997E-865ED8066A9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3F88DBD-49F5-48A6-9D50-F3F47AF98B3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AC-45AC-997E-865ED8066A9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94AAAF3-A494-45D4-93CC-DB752DB1EAE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AC-45AC-997E-865ED8066A9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A35BF82-38B2-4359-9887-13954E5094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AC-45AC-997E-865ED8066A9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193E079-571E-4F43-91B5-ED32F48E65A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AC-45AC-997E-865ED8066A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308AFF-6B6A-4783-AE0E-9E50FA4ED01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AC-45AC-997E-865ED8066A9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6374F20-B001-4D4B-B9D4-62F88B759BE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AC-45AC-997E-865ED8066A9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10E496C-74B5-40F6-8AD8-6998E36774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AC-45AC-997E-865ED8066A9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F3973A4-F690-45F6-A1BC-5B969D0F0E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AC-45AC-997E-865ED8066A9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AC3357D-8BB1-4E40-8978-E6D4147B61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AC-45AC-997E-865ED8066A9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A33EE0A-496A-4D95-ACFD-295690F11F9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AC-45AC-997E-865ED8066A9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2F11E6E-7B4C-4B07-93E9-5BCF5B34C7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AC-45AC-997E-865ED8066A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B13317-01BC-40E3-A241-50F4D98FB77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AC-45AC-997E-865ED8066A9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670A0C3-D503-48B5-BBCC-F80A23359F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AC-45AC-997E-865ED8066A9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1457993-6899-4E5F-BFDE-A916FBE9B41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AC-45AC-997E-865ED8066A9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FBB8A8-47F4-4385-98D9-AB88AF83B3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AC-45AC-997E-865ED8066A9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66293A3-EF99-4664-B39B-CAED67A293E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AC-45AC-997E-865ED8066A9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6BBD2B1-E4A2-48B3-BD8E-204AE96BC51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AC-45AC-997E-865ED8066A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5DB1921-9544-477B-872B-721FD2D8000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AC-45AC-997E-865ED8066A9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001AE60-04A9-4D1A-A7E2-AF48A2AE40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AC-45AC-997E-865ED8066A9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7357E9-C465-4D7A-BD9A-08D390085F4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AC-45AC-997E-865ED8066A9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EE8696C-BC43-4D3D-BF55-389D46FC9D3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AC-45AC-997E-865ED8066A9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D81F56D-A134-468D-A819-78D72F81164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AC-45AC-997E-865ED8066A9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6A2EE19-E22D-451B-BF49-F3F51BF42BB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AC-45AC-997E-865ED8066A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E212F0-4319-431A-861D-6F919540C7C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AC-45AC-997E-865ED8066A9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E925DAF-CEAB-4788-9F38-315F733A050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AC-45AC-997E-865ED8066A9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C846624-918D-495D-BB30-513C277DC79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AC-45AC-997E-865ED8066A9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54B915-AAA4-4721-982E-D673B370FC9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AC-45AC-997E-865ED8066A9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C4CFE5E-53BB-4788-95CF-CDDE7D9EEA2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AC-45AC-997E-865ED8066A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B11E17F-3732-4D95-8F70-D8816B2C572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AC-45AC-997E-865ED8066A9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3778700-E895-4433-959E-ED52FB8BBF1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AC-45AC-997E-865ED8066A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9B00264-6CDE-4D0E-9E37-478E0365C55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AC-45AC-997E-865ED8066A9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DEAC086-29A6-4B18-8CD3-B2AE2AB2038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AC-45AC-997E-865ED8066A9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A7F5D77-1CFB-4A1B-A2BB-31230089823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AC-45AC-997E-865ED8066A9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23EE752-A1F9-45BE-8259-CFA41B6FD00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AC-45AC-997E-865ED8066A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466B798-46B0-478F-8162-F7931FE6DA0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AC-45AC-997E-865ED8066A9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837E2BA-BB78-4770-A397-ADD76A62ED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AC-45AC-997E-865ED8066A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6C716AD-31DB-4E7A-80EB-8A2C831F8F3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AC-45AC-997E-865ED8066A9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3AECFA-2879-4C8E-A207-ABB9702EF26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AC-45AC-997E-865ED8066A9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B3DE58D-54F9-45DE-8087-7D6EDF852E0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AC-45AC-997E-865ED8066A9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2E40974-A9A6-49B4-A45C-831F7C84571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AC-45AC-997E-865ED8066A9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6169E74-31AB-4947-AF91-383E2A45928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AC-45AC-997E-865ED8066A9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9621A98-712D-47F1-8A78-B548BAD6118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AC-45AC-997E-865ED8066A9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B8E622F-A856-4BB0-8973-418231BC3CB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AC-45AC-997E-865ED8066A9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1C4B063-68F6-4813-872E-8AEB4CBE969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AC-45AC-997E-865ED8066A9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F221A64-771A-40B3-B8BA-130F567FF73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AC-45AC-997E-865ED8066A9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4471D2-B869-48A9-9A8C-F51D84C60DF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AC-45AC-997E-865ED8066A9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530E85-6CE6-4B79-98A5-FE25384CDB5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AC-45AC-997E-865ED8066A9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4F8AEEA-892A-4D07-BBDF-7D2F2EC86E9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AC-45AC-997E-865ED8066A9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8D366FE-B1A7-4BC7-8203-00983BD2AF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AC-45AC-997E-865ED8066A9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5AC1C3A-AC79-4B5B-9177-9D3C3CD6050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AC-45AC-997E-865ED8066A9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FB77F04-8502-4E16-A8AF-AA860CC83A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AC-45AC-997E-865ED8066A9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D2A0DD9-9B4C-4426-A1F5-340203C973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AC-45AC-997E-865ED8066A9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FEA945D-2DC1-454F-9EC1-F687E872AEC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AC-45AC-997E-865ED8066A9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B4B8AC7-77F1-4016-906B-8431755C452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AC-45AC-997E-865ED8066A9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E882461-FA9C-4930-8A4E-8965CCFA14B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AC-45AC-997E-865ED8066A9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C1811A2-F2A8-4CC6-B1D4-FEDAD5D8F5E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AC-45AC-997E-865ED8066A9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224A386-E09E-499C-BD69-DEA9A2054E9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AC-45AC-997E-865ED8066A9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7D65D56-9C9B-4DCB-9A9A-814A062298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AC-45AC-997E-865ED8066A9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91B47E5-9111-4D25-8EB0-21F8EDB565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AC-45AC-997E-865ED8066A9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448076F-F504-4F42-9B2E-C06CD72356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AC-45AC-997E-865ED8066A9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1FD2096-70DA-4DDB-84E0-3A87BC23A0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AC-45AC-997E-865ED8066A9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0471F5-143A-48D3-8CA3-56362B9D93E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AC-45AC-997E-865ED8066A9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F3EE334-1623-4FC4-AC7C-C02AF74E45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AC-45AC-997E-865ED8066A9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7C9E8C0-7B9D-495A-86A8-6EF262123F2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AC-45AC-997E-865ED8066A9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F60387A-3050-40DC-9A93-481D6F225A4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AC-45AC-997E-865ED8066A9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B8A488-078D-4050-9FFA-4E2C1EB7C76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AC-45AC-997E-865ED8066A9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42A29D-AB70-43B2-9A1C-72AB88FC8C5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AC-45AC-997E-865ED8066A9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45FE1E-DB2D-4FC0-9CD8-15CF5B17EA3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AC-45AC-997E-865ED8066A9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E948C1-CA80-4C69-8FB5-D6B227D5201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AC-45AC-997E-865ED8066A9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84930A8-C124-4E85-98FB-419FFCE9DA3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AC-45AC-997E-865ED8066A9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9092FAB-37FD-42FE-AFCE-7754EADC97A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AC-45AC-997E-865ED8066A9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98E2006-3193-45EB-A654-73351D9D4FE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AC-45AC-997E-865ED8066A9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9ADD7C5-0015-4799-8104-0DDB8022D70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AC-45AC-997E-865ED8066A9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2F81D07-14B2-40FE-958A-6E608D15915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AC-45AC-997E-865ED8066A9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FD6072C-B902-4A7F-BAB2-AA565932174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AC-45AC-997E-865ED8066A9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4EB4459-7B6C-4BE5-BCA4-2D9BDC1F850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AC-45AC-997E-865ED8066A9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164A304-AE79-404B-A453-F79696BD9B8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AC-45AC-997E-865ED8066A9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66044C5-D76E-40C6-9359-1D6E3D8AB7D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AC-45AC-997E-865ED8066A9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BCCDF9C-A0E6-4572-8B6A-1E30DA0211F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AC-45AC-997E-865ED8066A9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D5385DA-7B67-4154-9487-E4AEE8248A4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AC-45AC-997E-865ED8066A9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9288549-2525-4387-9A6C-81FDC338ABC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AC-45AC-997E-865ED8066A9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32C3C45-8C9A-4250-9699-2BF885483F9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AC-45AC-997E-865ED8066A9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C3BEF5A-B9BB-46D4-9C4F-09C9E6F39C2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AC-45AC-997E-865ED8066A9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fld id="{A7588534-0850-41BE-ABD6-BA911D2A78E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AC-45AC-997E-865ED8066A9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fld id="{C2C429A6-1DF0-4B4C-BE7D-E1677353968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AC-45AC-997E-865ED8066A9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fld id="{A8B50D66-1D94-4C28-9582-F732C4F8EF8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AC-45AC-997E-865ED8066A9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fld id="{AFE043B6-9FB5-4E11-AACA-16A4CD088F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AC-45AC-997E-865ED8066A9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fld id="{EE2B6118-B8B2-4716-97F5-91F3CDB4A1E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AC-45AC-997E-865ED8066A9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fld id="{94BCB5A2-1628-46C0-8E2A-8137EA5CE11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AC-45AC-997E-865ED8066A9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fld id="{D7AF6F7D-F1C4-4E6C-9BC5-C90D56B7268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AC-45AC-997E-865ED8066A9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fld id="{9D73CCA6-D1B1-4FD4-BF9F-A2897C00EA7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AC-45AC-997E-865ED8066A9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fld id="{BC628302-1C3B-4DFE-8AA4-DC262AE1250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AC-45AC-997E-865ED8066A9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fld id="{8ABDD0EB-3C16-4EEE-89D4-EA07E11EC0C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AC-45AC-997E-865ED8066A9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fld id="{AC77EA37-026E-4BA6-8FFB-74F1ADA4711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AC-45AC-997E-865ED8066A9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fld id="{0052E93A-F8D5-4C9F-90F8-498A9B4A271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AC-45AC-997E-865ED8066A9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fld id="{0CD6FE6F-514C-4E50-B8D7-80A08673FFC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AC-45AC-997E-865ED8066A9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fld id="{C23BA139-BD4E-4541-8CDC-7D374D64759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AC-45AC-997E-865ED8066A9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fld id="{062EEEFD-37ED-4F02-9346-439F55BF32A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AC-45AC-997E-865ED8066A9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fld id="{169F56CC-6362-49ED-9966-5A41AB1588D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AC-45AC-997E-865ED8066A9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fld id="{AD2CC69F-8874-4D74-9B09-90F76614E87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AC-45AC-997E-865ED8066A9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fld id="{FF2CE28C-086C-4776-897F-A09824B7B45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AC-45AC-997E-865ED8066A9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fld id="{1B2AFC24-676D-47DA-BB16-15A67F4968D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AC-45AC-997E-865ED8066A9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fld id="{DE185E35-EED2-488A-B1B4-55031F2A61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AC-45AC-997E-865ED8066A9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fld id="{73E9860B-F9C1-4B56-8310-40BC19C0D08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AC-45AC-997E-865ED8066A9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fld id="{3DDD84FA-49D7-41B3-AB9D-FF22CA6C5A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AC-45AC-997E-865ED8066A9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fld id="{FF37D4E9-DF90-40BB-AE2F-35F9B6D4F57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AC-45AC-997E-865ED8066A9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fld id="{27F661A2-F602-4B18-817B-361063CBFF0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AC-45AC-997E-865ED8066A9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fld id="{2EE3BE5C-D941-4E2A-A06B-904190919D3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AC-45AC-997E-865ED8066A9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fld id="{D65933F6-8041-455B-A533-A0D7448DAF5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AC-45AC-997E-865ED8066A9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fld id="{FB1E257D-1B85-454B-8FCB-296EA7AF015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AC-45AC-997E-865ED8066A9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fld id="{AC07B1CF-3201-450C-88F9-1FEAA824351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AC-45AC-997E-865ED8066A9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fld id="{1987A845-B22F-4592-9117-4EB1341FE68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AC-45AC-997E-865ED8066A9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fld id="{DCAA2D39-1491-4233-BE2A-FBC25250F5C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AC-45AC-997E-865ED8066A9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fld id="{7157F41D-C19D-4B93-B54E-314751F8340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AC-45AC-997E-865ED8066A9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fld id="{2E548549-57A3-42FA-ABAF-02E6BD3FEB2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AC-45AC-997E-865ED8066A9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fld id="{4A0D1946-E551-46AC-B602-D91CB1D639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AC-45AC-997E-865ED8066A9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fld id="{C5518625-11CD-4996-B67E-EE81BA636EE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AC-45AC-997E-865ED8066A9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fld id="{3CA0152F-49DE-4F29-ABC4-DB369E7DE0F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AC-45AC-997E-865ED8066A9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fld id="{929F51E2-9434-4050-9B9E-FFFF51588E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AC-45AC-997E-865ED8066A9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fld id="{3833ABA8-FEFD-4879-89C0-7AEBABAB6A0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AC-45AC-997E-865ED8066A9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fld id="{4AB05CDE-5235-4E26-881E-D45E89584B8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AC-45AC-997E-865ED8066A9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fld id="{0B17F918-505B-4651-A9B7-FA5F5A24A82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AC-45AC-997E-865ED8066A9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fld id="{1CA640FB-2DAC-422C-86F3-32CE6B0215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AC-45AC-997E-865ED8066A9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fld id="{0EE472C1-252A-498D-9FF0-75382EEE01D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AC-45AC-997E-865ED8066A9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fld id="{FA94A94C-4385-44B6-AA62-554288D6D04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AC-45AC-997E-865ED8066A9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fld id="{75FBD752-AC1F-4790-8133-9CBD2F5ED61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AC-45AC-997E-865ED8066A9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fld id="{E225C3BA-50B7-4F6E-BBA4-A55FB6A97C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AC-45AC-997E-865ED8066A9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fld id="{210F448B-9251-44C1-8ABA-415103A5276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AC-45AC-997E-865ED8066A9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fld id="{F0757D5E-BAA8-460D-9FE9-85D57A9ADFC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AC-45AC-997E-865ED8066A9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fld id="{45187489-7A30-4849-A497-02E0D918A69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AC-45AC-997E-865ED8066A9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fld id="{516E84C0-412F-4288-A10D-B11CE1B77A2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AC-45AC-997E-865ED8066A9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fld id="{553CDAA8-5432-4433-A40C-E5513F45863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AC-45AC-997E-865ED8066A9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fld id="{F7D13A94-DCCD-4A8E-BA4E-8FC18B2F93C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AC-45AC-997E-865ED8066A9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fld id="{ECBA51CD-A6D9-454D-A922-8820576042A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AC-45AC-997E-865ED8066A9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fld id="{FC268199-B8EA-4015-AEB6-A9F41A5990B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AC-45AC-997E-865ED8066A9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fld id="{9CD6924C-176F-473B-95E5-5AB2AAE007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AC-45AC-997E-865ED8066A9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fld id="{7270EDA7-BF14-492B-893B-7F4F28B784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AC-45AC-997E-865ED8066A9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fld id="{412D3557-5836-4C0F-AFBA-1D117AF9F7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AC-45AC-997E-865ED8066A9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fld id="{88E27708-323F-4B7A-A284-FC284FDBD1A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AC-45AC-997E-865ED8066A9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fld id="{C2F3EBA2-2173-4FD8-A9B8-276073AA84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AC-45AC-997E-865ED8066A9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fld id="{EB4F9E19-3858-434B-8DEE-CFAF4CC7A75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AC-45AC-997E-865ED8066A9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fld id="{5250DB7F-6147-42A2-A9D8-4767EAD374B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AC-45AC-997E-865ED8066A9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fld id="{EBE02C82-B48D-429E-BBFE-7F0364BB95F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AC-45AC-997E-865ED8066A9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fld id="{C6B78BC9-7E14-4DCB-9754-77653F511B4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AC-45AC-997E-865ED8066A9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fld id="{1C1E4B66-E108-4A37-B511-A377852A85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AC-45AC-997E-865ED8066A9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fld id="{FFD41962-9BDD-4C28-BC5B-149F62F71B2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AC-45AC-997E-865ED8066A9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fld id="{536082AF-8E01-460E-B11C-682FA58A756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AC-45AC-997E-865ED8066A9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fld id="{B0217C36-B1F8-45BE-B54D-07860405631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AC-45AC-997E-865ED8066A9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fld id="{0E3FB3D2-4386-44ED-A77A-0107A0F9487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AC-45AC-997E-865ED8066A9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fld id="{2EDCD0B2-E2C7-476E-AC5F-92F81137FC9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AC-45AC-997E-865ED8066A9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fld id="{74BB7C06-9493-4010-BE56-CF04610CC03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AC-45AC-997E-865ED8066A9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fld id="{DE78D7A5-CA14-49C2-A8C0-8D9BEE771BF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AC-45AC-997E-865ED8066A9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fld id="{B6C68722-65DD-4814-A82D-DC1193BA75F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AC-45AC-997E-865ED8066A9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fld id="{8D8EE1C4-38D3-4F38-8764-1504BB0F0BC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AC-45AC-997E-865ED8066A9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fld id="{4CF4E96D-14D7-4BE6-95F4-282CF524B8A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AC-45AC-997E-865ED8066A9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fld id="{AF9C6D7A-35F7-4B14-82DC-13D898C1E6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AC-45AC-997E-865ED8066A93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fld id="{D17BA450-40E4-4949-9389-1BF27CF0422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6AC-45AC-997E-865ED8066A93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fld id="{2487B0CB-8C87-4C9D-BAAF-B80981AD352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46AC-45AC-997E-865ED8066A93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fld id="{1BBC8014-AAE6-4FD5-B8B7-BB795043196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46AC-45AC-997E-865ED8066A93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fld id="{967D23BB-CDBE-4EF0-B51F-D14758F7922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46AC-45AC-997E-865ED8066A93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fld id="{A6E96099-D0E0-4AA0-B451-178B676305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46AC-45AC-997E-865ED8066A93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fld id="{838F0FEA-202C-4CE5-9ABB-0CD5733E449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46AC-45AC-997E-865ED8066A93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fld id="{7C43B7A1-65D1-4279-9724-F7462CCE147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46AC-45AC-997E-865ED8066A93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fld id="{C03278A2-11CB-4DCE-8EC2-A9F3B6198E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46AC-45AC-997E-865ED8066A93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fld id="{9535FFCA-66D1-43AD-B1AF-3FB77359D38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46AC-45AC-997E-865ED8066A93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fld id="{5E0F8A40-C8BD-4215-96C0-6D28E953AD9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46AC-45AC-997E-865ED8066A93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fld id="{2BE558F6-6652-4CBF-9436-19E01C1557F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46AC-45AC-997E-865ED8066A93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fld id="{F1954F0A-AE84-406E-BEC0-3D499100017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46AC-45AC-997E-865ED8066A93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fld id="{FA43CB13-062D-4BAA-88B9-C4527CC5089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46AC-45AC-997E-865ED8066A93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fld id="{0F81D50A-109F-4E2E-8C83-784EDD1FBD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46AC-45AC-997E-865ED8066A93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fld id="{5C058FF0-5459-4F38-91CD-FCAB19BAF73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46AC-45AC-997E-865ED8066A93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fld id="{CCE935DD-541C-4DB2-AB09-00CD1CA281D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46AC-45AC-997E-865ED8066A93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fld id="{BA2DCACF-83F0-4253-B85D-3D137C2EB8B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46AC-45AC-997E-865ED8066A93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fld id="{3C2D37BA-BCAC-499D-AA68-B81B642CDF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46AC-45AC-997E-865ED8066A93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fld id="{8E7960F9-4562-4E9E-B59F-09028B44A4F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46AC-45AC-997E-865ED8066A93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fld id="{C41FE2A0-53F4-4E0B-AA80-E83BABF236D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46AC-45AC-997E-865ED8066A93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fld id="{4FEFAB77-4BBE-4169-941F-DF01A2E038B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46AC-45AC-997E-865ED8066A93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fld id="{6AC83089-F579-4903-B0E6-3BF594B3307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46AC-45AC-997E-865ED8066A93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fld id="{B5EDDA34-BB4A-4365-9FCB-5C33F2D1211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46AC-45AC-997E-865ED8066A93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fld id="{3151D192-8F2E-46A1-B173-E71E83F9E2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46AC-45AC-997E-865ED8066A93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fld id="{27D5D99E-0F70-4FE2-B2B5-AA1A4C602E3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46AC-45AC-997E-865ED8066A93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fld id="{63C3940C-103A-43E5-841F-1FCAC49C149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46AC-45AC-997E-865ED8066A93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fld id="{C9B32883-4642-4BC3-BC23-C140C58F67A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46AC-45AC-997E-865ED8066A93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fld id="{C38C4040-81FA-441A-9CE0-E37994AFEF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46AC-45AC-997E-865ED8066A93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fld id="{3F2D1232-FF0A-4300-BE58-1FB71BD152E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46AC-45AC-997E-865ED8066A93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fld id="{9F3178C5-E09E-41A6-A156-22FD597C0CE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46AC-45AC-997E-865ED8066A93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fld id="{EE8D6619-88BD-4D0D-913C-6A0848AFED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46AC-45AC-997E-865ED8066A93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fld id="{0BD4C209-2579-4E03-9516-01344FBEF32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46AC-45AC-997E-865ED8066A93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fld id="{4033DFCE-9FE4-43B7-8C6C-FF9AA695B5F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46AC-45AC-997E-865ED8066A93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fld id="{563600BB-5EF9-43EA-BBB0-E6F951E5A39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46AC-45AC-997E-865ED8066A93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fld id="{9F70A28E-6ED3-4614-9834-B9C2302ADB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46AC-45AC-997E-865ED8066A93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fld id="{D679922A-8C90-4E81-A6BB-56A05410AEE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46AC-45AC-997E-865ED8066A93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fld id="{9BF1CAAC-C087-46F2-9F84-CC596DA679D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46AC-45AC-997E-865ED8066A93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fld id="{B2B44867-8CBB-4881-B4A7-062B2976230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46AC-45AC-997E-865ED8066A93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fld id="{AC85A552-CDEB-4BE6-A7A4-5C7601D976B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46AC-45AC-997E-865ED8066A93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fld id="{1ADEA1B5-4F5B-44E6-96A9-B320F476C14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46AC-45AC-997E-865ED8066A93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fld id="{1F2E0FC3-A844-4FF0-B05A-DAF78054A8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46AC-45AC-997E-865ED8066A93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fld id="{9DF1CB27-324A-4BD6-8AE6-37B801EB5C4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46AC-45AC-997E-865ED8066A93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fld id="{5E669423-7961-4A7F-B872-C0A9D7DC8C9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46AC-45AC-997E-865ED8066A93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fld id="{78FF89B3-E69D-477C-A4A4-19065B87554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46AC-45AC-997E-865ED8066A93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fld id="{7C937393-C13F-4877-B839-DDD6CBDE22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46AC-45AC-997E-865ED8066A93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fld id="{C6A532A1-D9DA-4566-9B88-7651EDF0EC3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46AC-45AC-997E-865ED8066A93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fld id="{554AD630-72B1-4978-9AE0-9249C7B6173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46AC-45AC-997E-865ED8066A93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fld id="{15FB3679-C35C-433A-88EF-E3B86B321D3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46AC-45AC-997E-865ED8066A93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fld id="{F29E0730-F6A6-40C4-96DB-5A4B9E7CF52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46AC-45AC-997E-865ED8066A93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fld id="{576D2596-7F2B-4402-9CB0-90184FE7623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46AC-45AC-997E-865ED8066A93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fld id="{AACA0C19-3089-47CE-9CC6-B0871EDED22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46AC-45AC-997E-865ED8066A93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fld id="{2599F053-1626-4FF3-B08B-819972B33D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46AC-45AC-997E-865ED8066A93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fld id="{E940C2D3-541A-472B-B9D1-4C13FE33CBB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46AC-45AC-997E-865ED8066A93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fld id="{7ED82DBC-C0F2-4BDE-B081-6DAD43BA71E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46AC-45AC-997E-865ED8066A93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fld id="{E356CA99-C743-4342-9536-EC85899B419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46AC-45AC-997E-865ED8066A93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fld id="{08CFD1AB-5821-4E06-B124-F4CBB58963F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46AC-45AC-997E-865ED8066A93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fld id="{C84A0A21-70FF-4E3F-A457-21C224E7447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46AC-45AC-997E-865ED8066A93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fld id="{57808796-86C4-497B-8D17-9F1AD5960DC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46AC-45AC-997E-865ED8066A93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fld id="{AC4513A7-CFA1-4B4B-8753-DE7871584E4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46AC-45AC-997E-865ED8066A93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fld id="{19C56221-13CA-413C-BA56-07A3A997C4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46AC-45AC-997E-865ED8066A93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fld id="{3A576445-F0EC-4B6A-B6E9-2E648815EDD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46AC-45AC-997E-865ED8066A93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fld id="{9784CF54-EF9E-4991-AB8C-7A2269B932E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46AC-45AC-997E-865ED8066A93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fld id="{65688D0E-2CF2-4B45-947C-BB1DB11F086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46AC-45AC-997E-865ED8066A93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fld id="{83AC4CD6-87E6-428D-B546-41197A37929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46AC-45AC-997E-865ED8066A93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fld id="{2F3C3587-F278-4348-A8C8-2FABDE10101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46AC-45AC-997E-865ED8066A93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fld id="{9EAFA0F9-1FDE-44A5-9352-561294EED9D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46AC-45AC-997E-865ED8066A93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fld id="{2A7B1CA5-CE2D-41C5-8799-D55BC0F712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46AC-45AC-997E-865ED8066A93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fld id="{0CDB55C2-9F3F-460E-AAAE-4E7BAFE5DB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46AC-45AC-997E-865ED8066A93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fld id="{778C0068-4062-4B2F-923A-8E218D21567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46AC-45AC-997E-865ED8066A93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fld id="{B89ED19B-9212-4967-873B-9E212B0FC0A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46AC-45AC-997E-865ED8066A93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fld id="{E33860B3-E506-412C-960B-2A937FC6B10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46AC-45AC-997E-865ED8066A93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fld id="{9C9ED0F3-515B-4FF2-A24E-01D040F1122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46AC-45AC-997E-865ED8066A93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fld id="{92FD3F49-686E-442A-930F-C79F4B142C5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46AC-45AC-997E-865ED8066A93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fld id="{E43FD315-951A-4F80-95EC-31BA0782539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46AC-45AC-997E-865ED8066A93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fld id="{05E4ED02-0F59-4186-921C-BE3B09222B9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46AC-45AC-997E-865ED8066A93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fld id="{E24FFE0D-B792-46C9-B5FD-87D0E0E2186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46AC-45AC-997E-865ED8066A93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fld id="{987A512D-AC1C-43F2-A548-6C8C54562F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46AC-45AC-997E-865ED8066A93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fld id="{7B225AAE-58F2-49B6-8C07-6A603A0821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46AC-45AC-997E-865ED8066A93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fld id="{C3EAAB5D-D00E-414C-8D39-8D43D846409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46AC-45AC-997E-865ED8066A93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fld id="{D73CE209-D2F8-4938-BE23-7B75622AB95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46AC-45AC-997E-865ED8066A93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fld id="{9F390FD8-C373-4598-A764-9D359A9DCB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46AC-45AC-997E-865ED8066A93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fld id="{A230ED85-182C-4719-82F0-F5B50351859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46AC-45AC-997E-865ED8066A93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fld id="{3C08D041-BEA3-47DE-B20D-8A08332C160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46AC-45AC-997E-865ED8066A93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fld id="{41AF2D01-385A-4D68-9F99-5B0A85A412B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46AC-45AC-997E-865ED8066A93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fld id="{7416C12F-F280-463A-AAAE-0E49C98A61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46AC-45AC-997E-865ED8066A93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fld id="{0A03E32D-8CD2-4C7C-87E8-F44967321FD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46AC-45AC-997E-865ED8066A93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fld id="{E0560672-5328-4D5B-A266-57A0D570D87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46AC-45AC-997E-865ED8066A93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fld id="{794618F8-43A2-4440-A98C-6F35EDABA45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46AC-45AC-997E-865ED8066A93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fld id="{1A0A7730-5F0F-4976-99AE-E3858EE1F22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46AC-45AC-997E-865ED8066A93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fld id="{504577CF-092B-4A1D-95A7-D088CC5C98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46AC-45AC-997E-865ED8066A93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fld id="{1E8695BB-F94F-4764-B0F7-9D246DEB987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46AC-45AC-997E-865ED8066A93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fld id="{3629B26A-DAC5-495C-8793-E12CE1A384C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46AC-45AC-997E-865ED8066A93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fld id="{B959FEEE-1F75-447C-93BC-CBA64805608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46AC-45AC-997E-865ED8066A93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fld id="{4841DAF0-3E37-421D-B5A2-9C95739B0D4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46AC-45AC-997E-865ED8066A93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fld id="{D8FF237A-FB76-4633-82C5-EC46BC457F7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46AC-45AC-997E-865ED8066A93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fld id="{97F6D20B-EE64-421D-A91B-2B826490B4C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46AC-45AC-997E-865ED8066A93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fld id="{B046043D-4D6A-4D46-9FFF-EE5EC73FCE1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46AC-45AC-997E-865ED8066A93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fld id="{16338F4C-65CA-46A1-A6DF-F07901B8DB1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46AC-45AC-997E-865ED8066A93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fld id="{6D295BFC-CB9E-4A1A-80E2-301F6C30E6B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46AC-45AC-997E-865ED8066A93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fld id="{2F856B28-E1C5-4FAE-82E7-7BDE2CD448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46AC-45AC-997E-865ED8066A93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fld id="{E8846938-5246-4BBF-A0DF-63565C99FF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46AC-45AC-997E-865ED8066A93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fld id="{192FEBFB-D3D9-4EA5-8827-C940DCC0658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46AC-45AC-997E-865ED8066A93}"/>
                </c:ext>
              </c:extLst>
            </c:dLbl>
            <c:dLbl>
              <c:idx val="401"/>
              <c:tx>
                <c:rich>
                  <a:bodyPr/>
                  <a:lstStyle/>
                  <a:p>
                    <a:fld id="{1A9EADCB-1BB1-49F7-B7BC-8B31ABFEE4C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46AC-45AC-997E-865ED8066A93}"/>
                </c:ext>
              </c:extLst>
            </c:dLbl>
            <c:dLbl>
              <c:idx val="402"/>
              <c:tx>
                <c:rich>
                  <a:bodyPr/>
                  <a:lstStyle/>
                  <a:p>
                    <a:fld id="{A9058615-1CFB-418B-9E22-9D11AD0BB52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46AC-45AC-997E-865ED8066A93}"/>
                </c:ext>
              </c:extLst>
            </c:dLbl>
            <c:dLbl>
              <c:idx val="403"/>
              <c:tx>
                <c:rich>
                  <a:bodyPr/>
                  <a:lstStyle/>
                  <a:p>
                    <a:fld id="{1B41013A-28D8-425D-B8D0-B0DEA6212E5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46AC-45AC-997E-865ED8066A93}"/>
                </c:ext>
              </c:extLst>
            </c:dLbl>
            <c:dLbl>
              <c:idx val="404"/>
              <c:tx>
                <c:rich>
                  <a:bodyPr/>
                  <a:lstStyle/>
                  <a:p>
                    <a:fld id="{A5514976-CB36-4ED1-92A1-17A22B614E9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46AC-45AC-997E-865ED8066A93}"/>
                </c:ext>
              </c:extLst>
            </c:dLbl>
            <c:dLbl>
              <c:idx val="405"/>
              <c:tx>
                <c:rich>
                  <a:bodyPr/>
                  <a:lstStyle/>
                  <a:p>
                    <a:fld id="{6C9E870B-4A27-49E0-978C-ADBE1620A09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46AC-45AC-997E-865ED8066A93}"/>
                </c:ext>
              </c:extLst>
            </c:dLbl>
            <c:dLbl>
              <c:idx val="406"/>
              <c:tx>
                <c:rich>
                  <a:bodyPr/>
                  <a:lstStyle/>
                  <a:p>
                    <a:fld id="{AEEFF4BC-59CF-474E-9B9B-FA103D5E0BF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46AC-45AC-997E-865ED8066A93}"/>
                </c:ext>
              </c:extLst>
            </c:dLbl>
            <c:dLbl>
              <c:idx val="407"/>
              <c:tx>
                <c:rich>
                  <a:bodyPr/>
                  <a:lstStyle/>
                  <a:p>
                    <a:fld id="{E3E6DE0D-573E-4F53-8EAE-6B0AA675CE6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46AC-45AC-997E-865ED8066A93}"/>
                </c:ext>
              </c:extLst>
            </c:dLbl>
            <c:dLbl>
              <c:idx val="408"/>
              <c:tx>
                <c:rich>
                  <a:bodyPr/>
                  <a:lstStyle/>
                  <a:p>
                    <a:fld id="{4A866E7B-908D-4338-AA9A-3798E9F59F3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46AC-45AC-997E-865ED8066A93}"/>
                </c:ext>
              </c:extLst>
            </c:dLbl>
            <c:dLbl>
              <c:idx val="409"/>
              <c:tx>
                <c:rich>
                  <a:bodyPr/>
                  <a:lstStyle/>
                  <a:p>
                    <a:fld id="{5C8E732D-A382-4001-AF17-C83D38CBE0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46AC-45AC-997E-865ED8066A93}"/>
                </c:ext>
              </c:extLst>
            </c:dLbl>
            <c:dLbl>
              <c:idx val="410"/>
              <c:tx>
                <c:rich>
                  <a:bodyPr/>
                  <a:lstStyle/>
                  <a:p>
                    <a:fld id="{391F6990-C634-4F17-B095-91E6622ECE2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46AC-45AC-997E-865ED8066A93}"/>
                </c:ext>
              </c:extLst>
            </c:dLbl>
            <c:dLbl>
              <c:idx val="411"/>
              <c:tx>
                <c:rich>
                  <a:bodyPr/>
                  <a:lstStyle/>
                  <a:p>
                    <a:fld id="{74AB727F-ED64-47C4-AF79-6536056859C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46AC-45AC-997E-865ED8066A93}"/>
                </c:ext>
              </c:extLst>
            </c:dLbl>
            <c:dLbl>
              <c:idx val="412"/>
              <c:tx>
                <c:rich>
                  <a:bodyPr/>
                  <a:lstStyle/>
                  <a:p>
                    <a:fld id="{B84FBC9E-CE48-4484-B83E-14F6625447A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46AC-45AC-997E-865ED8066A93}"/>
                </c:ext>
              </c:extLst>
            </c:dLbl>
            <c:dLbl>
              <c:idx val="413"/>
              <c:tx>
                <c:rich>
                  <a:bodyPr/>
                  <a:lstStyle/>
                  <a:p>
                    <a:fld id="{473D0F50-97F7-46F0-8A81-72FED5042FC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46AC-45AC-997E-865ED8066A93}"/>
                </c:ext>
              </c:extLst>
            </c:dLbl>
            <c:dLbl>
              <c:idx val="414"/>
              <c:tx>
                <c:rich>
                  <a:bodyPr/>
                  <a:lstStyle/>
                  <a:p>
                    <a:fld id="{9533B61D-FF6A-4879-85E4-12CD3A73CC8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46AC-45AC-997E-865ED8066A93}"/>
                </c:ext>
              </c:extLst>
            </c:dLbl>
            <c:dLbl>
              <c:idx val="415"/>
              <c:tx>
                <c:rich>
                  <a:bodyPr/>
                  <a:lstStyle/>
                  <a:p>
                    <a:fld id="{1B4B9087-9C44-4304-AA50-6783EA4C0E7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46AC-45AC-997E-865ED8066A93}"/>
                </c:ext>
              </c:extLst>
            </c:dLbl>
            <c:dLbl>
              <c:idx val="416"/>
              <c:tx>
                <c:rich>
                  <a:bodyPr/>
                  <a:lstStyle/>
                  <a:p>
                    <a:fld id="{2962C28A-3EC8-4363-8A51-A5FF6C8AA1D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46AC-45AC-997E-865ED8066A93}"/>
                </c:ext>
              </c:extLst>
            </c:dLbl>
            <c:dLbl>
              <c:idx val="417"/>
              <c:tx>
                <c:rich>
                  <a:bodyPr/>
                  <a:lstStyle/>
                  <a:p>
                    <a:fld id="{1624AD49-12D0-4FD1-B4A2-EFC1629B7F1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46AC-45AC-997E-865ED8066A93}"/>
                </c:ext>
              </c:extLst>
            </c:dLbl>
            <c:dLbl>
              <c:idx val="418"/>
              <c:tx>
                <c:rich>
                  <a:bodyPr/>
                  <a:lstStyle/>
                  <a:p>
                    <a:fld id="{3AAD58FB-C688-491D-BEA5-196DB552FF7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46AC-45AC-997E-865ED8066A93}"/>
                </c:ext>
              </c:extLst>
            </c:dLbl>
            <c:dLbl>
              <c:idx val="419"/>
              <c:tx>
                <c:rich>
                  <a:bodyPr/>
                  <a:lstStyle/>
                  <a:p>
                    <a:fld id="{7C35D96A-CBC9-4BF4-B6F7-F1EA2109539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46AC-45AC-997E-865ED8066A93}"/>
                </c:ext>
              </c:extLst>
            </c:dLbl>
            <c:dLbl>
              <c:idx val="420"/>
              <c:tx>
                <c:rich>
                  <a:bodyPr/>
                  <a:lstStyle/>
                  <a:p>
                    <a:fld id="{6C21AB37-17A7-4370-9090-27FB21B1047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46AC-45AC-997E-865ED8066A93}"/>
                </c:ext>
              </c:extLst>
            </c:dLbl>
            <c:dLbl>
              <c:idx val="421"/>
              <c:tx>
                <c:rich>
                  <a:bodyPr/>
                  <a:lstStyle/>
                  <a:p>
                    <a:fld id="{F23246BF-E2BA-4276-ADF5-061D57A678E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46AC-45AC-997E-865ED8066A93}"/>
                </c:ext>
              </c:extLst>
            </c:dLbl>
            <c:dLbl>
              <c:idx val="422"/>
              <c:tx>
                <c:rich>
                  <a:bodyPr/>
                  <a:lstStyle/>
                  <a:p>
                    <a:fld id="{2401D1C8-1D4E-4529-B067-E599737FFD7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46AC-45AC-997E-865ED8066A93}"/>
                </c:ext>
              </c:extLst>
            </c:dLbl>
            <c:dLbl>
              <c:idx val="423"/>
              <c:tx>
                <c:rich>
                  <a:bodyPr/>
                  <a:lstStyle/>
                  <a:p>
                    <a:fld id="{8B5FDE30-83FD-4600-99DB-E24A02960CF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46AC-45AC-997E-865ED8066A93}"/>
                </c:ext>
              </c:extLst>
            </c:dLbl>
            <c:dLbl>
              <c:idx val="424"/>
              <c:tx>
                <c:rich>
                  <a:bodyPr/>
                  <a:lstStyle/>
                  <a:p>
                    <a:fld id="{608C84B0-08D9-46AB-BC95-A723E10076A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46AC-45AC-997E-865ED8066A93}"/>
                </c:ext>
              </c:extLst>
            </c:dLbl>
            <c:dLbl>
              <c:idx val="425"/>
              <c:tx>
                <c:rich>
                  <a:bodyPr/>
                  <a:lstStyle/>
                  <a:p>
                    <a:fld id="{94FC9CDF-F741-458A-9B85-C0D9FFE9197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46AC-45AC-997E-865ED8066A93}"/>
                </c:ext>
              </c:extLst>
            </c:dLbl>
            <c:dLbl>
              <c:idx val="426"/>
              <c:tx>
                <c:rich>
                  <a:bodyPr/>
                  <a:lstStyle/>
                  <a:p>
                    <a:fld id="{4F7DDFBD-051F-4A84-BE7A-096A5A77AF6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46AC-45AC-997E-865ED8066A93}"/>
                </c:ext>
              </c:extLst>
            </c:dLbl>
            <c:dLbl>
              <c:idx val="427"/>
              <c:tx>
                <c:rich>
                  <a:bodyPr/>
                  <a:lstStyle/>
                  <a:p>
                    <a:fld id="{DA30EBB6-7F60-47B6-B80E-E171A73991A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46AC-45AC-997E-865ED8066A93}"/>
                </c:ext>
              </c:extLst>
            </c:dLbl>
            <c:dLbl>
              <c:idx val="428"/>
              <c:tx>
                <c:rich>
                  <a:bodyPr/>
                  <a:lstStyle/>
                  <a:p>
                    <a:fld id="{279C992F-08F0-4FA5-A3EE-B93230DDC84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46AC-45AC-997E-865ED8066A93}"/>
                </c:ext>
              </c:extLst>
            </c:dLbl>
            <c:dLbl>
              <c:idx val="429"/>
              <c:tx>
                <c:rich>
                  <a:bodyPr/>
                  <a:lstStyle/>
                  <a:p>
                    <a:fld id="{BC2B26DB-8427-4705-A3EA-6D959ECD3AE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46AC-45AC-997E-865ED8066A93}"/>
                </c:ext>
              </c:extLst>
            </c:dLbl>
            <c:dLbl>
              <c:idx val="430"/>
              <c:tx>
                <c:rich>
                  <a:bodyPr/>
                  <a:lstStyle/>
                  <a:p>
                    <a:fld id="{9CFA1D0D-A490-4EBB-B324-9D2F497DA3D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46AC-45AC-997E-865ED8066A93}"/>
                </c:ext>
              </c:extLst>
            </c:dLbl>
            <c:dLbl>
              <c:idx val="431"/>
              <c:tx>
                <c:rich>
                  <a:bodyPr/>
                  <a:lstStyle/>
                  <a:p>
                    <a:fld id="{538986B0-E219-48A1-851A-240B23BA57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46AC-45AC-997E-865ED8066A93}"/>
                </c:ext>
              </c:extLst>
            </c:dLbl>
            <c:dLbl>
              <c:idx val="432"/>
              <c:tx>
                <c:rich>
                  <a:bodyPr/>
                  <a:lstStyle/>
                  <a:p>
                    <a:fld id="{656E27FA-74B9-44B0-B6F8-7541BA6E3BC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46AC-45AC-997E-865ED8066A93}"/>
                </c:ext>
              </c:extLst>
            </c:dLbl>
            <c:dLbl>
              <c:idx val="433"/>
              <c:tx>
                <c:rich>
                  <a:bodyPr/>
                  <a:lstStyle/>
                  <a:p>
                    <a:fld id="{E2A11127-2957-48BD-9BEE-6A7015A38F5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46AC-45AC-997E-865ED8066A93}"/>
                </c:ext>
              </c:extLst>
            </c:dLbl>
            <c:dLbl>
              <c:idx val="434"/>
              <c:tx>
                <c:rich>
                  <a:bodyPr/>
                  <a:lstStyle/>
                  <a:p>
                    <a:fld id="{4498814C-32D9-4547-9B31-F1163DE907F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46AC-45AC-997E-865ED8066A93}"/>
                </c:ext>
              </c:extLst>
            </c:dLbl>
            <c:dLbl>
              <c:idx val="435"/>
              <c:tx>
                <c:rich>
                  <a:bodyPr/>
                  <a:lstStyle/>
                  <a:p>
                    <a:fld id="{0A893405-F59E-4847-BE64-213B77B49AF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46AC-45AC-997E-865ED8066A93}"/>
                </c:ext>
              </c:extLst>
            </c:dLbl>
            <c:dLbl>
              <c:idx val="436"/>
              <c:tx>
                <c:rich>
                  <a:bodyPr/>
                  <a:lstStyle/>
                  <a:p>
                    <a:fld id="{8CA52145-0C56-488A-B5A6-12B01F4F6F6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46AC-45AC-997E-865ED8066A93}"/>
                </c:ext>
              </c:extLst>
            </c:dLbl>
            <c:dLbl>
              <c:idx val="437"/>
              <c:tx>
                <c:rich>
                  <a:bodyPr/>
                  <a:lstStyle/>
                  <a:p>
                    <a:fld id="{CD695699-8C28-4564-B1AC-83F7A464431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46AC-45AC-997E-865ED8066A93}"/>
                </c:ext>
              </c:extLst>
            </c:dLbl>
            <c:dLbl>
              <c:idx val="438"/>
              <c:tx>
                <c:rich>
                  <a:bodyPr/>
                  <a:lstStyle/>
                  <a:p>
                    <a:fld id="{CD857CA9-E3FF-4BBB-969B-53E3B322C87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46AC-45AC-997E-865ED8066A93}"/>
                </c:ext>
              </c:extLst>
            </c:dLbl>
            <c:dLbl>
              <c:idx val="439"/>
              <c:tx>
                <c:rich>
                  <a:bodyPr/>
                  <a:lstStyle/>
                  <a:p>
                    <a:fld id="{8CB713B1-4F0E-4971-8C11-CC4D0FEF6C0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46AC-45AC-997E-865ED8066A93}"/>
                </c:ext>
              </c:extLst>
            </c:dLbl>
            <c:dLbl>
              <c:idx val="440"/>
              <c:tx>
                <c:rich>
                  <a:bodyPr/>
                  <a:lstStyle/>
                  <a:p>
                    <a:fld id="{6BD42E5A-CFBE-4C26-A750-EA80A57E69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46AC-45AC-997E-865ED806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Paths!$AB$1:$AB$441</c:f>
              <c:numCache>
                <c:formatCode>General</c:formatCode>
                <c:ptCount val="44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  <c:pt idx="21">
                  <c:v>-10</c:v>
                </c:pt>
                <c:pt idx="22">
                  <c:v>-9</c:v>
                </c:pt>
                <c:pt idx="23">
                  <c:v>-8</c:v>
                </c:pt>
                <c:pt idx="24">
                  <c:v>-7</c:v>
                </c:pt>
                <c:pt idx="25">
                  <c:v>-6</c:v>
                </c:pt>
                <c:pt idx="26">
                  <c:v>-5</c:v>
                </c:pt>
                <c:pt idx="27">
                  <c:v>-4</c:v>
                </c:pt>
                <c:pt idx="28">
                  <c:v>-3</c:v>
                </c:pt>
                <c:pt idx="29">
                  <c:v>-2</c:v>
                </c:pt>
                <c:pt idx="30">
                  <c:v>-1</c:v>
                </c:pt>
                <c:pt idx="31">
                  <c:v>0</c:v>
                </c:pt>
                <c:pt idx="32">
                  <c:v>1</c:v>
                </c:pt>
                <c:pt idx="33">
                  <c:v>2</c:v>
                </c:pt>
                <c:pt idx="34">
                  <c:v>3</c:v>
                </c:pt>
                <c:pt idx="35">
                  <c:v>4</c:v>
                </c:pt>
                <c:pt idx="36">
                  <c:v>5</c:v>
                </c:pt>
                <c:pt idx="37">
                  <c:v>6</c:v>
                </c:pt>
                <c:pt idx="38">
                  <c:v>7</c:v>
                </c:pt>
                <c:pt idx="39">
                  <c:v>8</c:v>
                </c:pt>
                <c:pt idx="40">
                  <c:v>9</c:v>
                </c:pt>
                <c:pt idx="41">
                  <c:v>10</c:v>
                </c:pt>
                <c:pt idx="42">
                  <c:v>-10</c:v>
                </c:pt>
                <c:pt idx="43">
                  <c:v>-9</c:v>
                </c:pt>
                <c:pt idx="44">
                  <c:v>-8</c:v>
                </c:pt>
                <c:pt idx="45">
                  <c:v>-7</c:v>
                </c:pt>
                <c:pt idx="46">
                  <c:v>-6</c:v>
                </c:pt>
                <c:pt idx="47">
                  <c:v>-5</c:v>
                </c:pt>
                <c:pt idx="48">
                  <c:v>-4</c:v>
                </c:pt>
                <c:pt idx="49">
                  <c:v>-3</c:v>
                </c:pt>
                <c:pt idx="50">
                  <c:v>-2</c:v>
                </c:pt>
                <c:pt idx="51">
                  <c:v>-1</c:v>
                </c:pt>
                <c:pt idx="52">
                  <c:v>0</c:v>
                </c:pt>
                <c:pt idx="53">
                  <c:v>1</c:v>
                </c:pt>
                <c:pt idx="54">
                  <c:v>2</c:v>
                </c:pt>
                <c:pt idx="55">
                  <c:v>3</c:v>
                </c:pt>
                <c:pt idx="56">
                  <c:v>4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-10</c:v>
                </c:pt>
                <c:pt idx="64">
                  <c:v>-9</c:v>
                </c:pt>
                <c:pt idx="65">
                  <c:v>-8</c:v>
                </c:pt>
                <c:pt idx="66">
                  <c:v>-7</c:v>
                </c:pt>
                <c:pt idx="67">
                  <c:v>-6</c:v>
                </c:pt>
                <c:pt idx="68">
                  <c:v>-5</c:v>
                </c:pt>
                <c:pt idx="69">
                  <c:v>-4</c:v>
                </c:pt>
                <c:pt idx="70">
                  <c:v>-3</c:v>
                </c:pt>
                <c:pt idx="71">
                  <c:v>-2</c:v>
                </c:pt>
                <c:pt idx="72">
                  <c:v>-1</c:v>
                </c:pt>
                <c:pt idx="73">
                  <c:v>0</c:v>
                </c:pt>
                <c:pt idx="74">
                  <c:v>1</c:v>
                </c:pt>
                <c:pt idx="75">
                  <c:v>2</c:v>
                </c:pt>
                <c:pt idx="76">
                  <c:v>3</c:v>
                </c:pt>
                <c:pt idx="77">
                  <c:v>4</c:v>
                </c:pt>
                <c:pt idx="78">
                  <c:v>5</c:v>
                </c:pt>
                <c:pt idx="79">
                  <c:v>6</c:v>
                </c:pt>
                <c:pt idx="80">
                  <c:v>7</c:v>
                </c:pt>
                <c:pt idx="81">
                  <c:v>8</c:v>
                </c:pt>
                <c:pt idx="82">
                  <c:v>9</c:v>
                </c:pt>
                <c:pt idx="83">
                  <c:v>10</c:v>
                </c:pt>
                <c:pt idx="84">
                  <c:v>-10</c:v>
                </c:pt>
                <c:pt idx="85">
                  <c:v>-9</c:v>
                </c:pt>
                <c:pt idx="86">
                  <c:v>-8</c:v>
                </c:pt>
                <c:pt idx="87">
                  <c:v>-7</c:v>
                </c:pt>
                <c:pt idx="88">
                  <c:v>-6</c:v>
                </c:pt>
                <c:pt idx="89">
                  <c:v>-5</c:v>
                </c:pt>
                <c:pt idx="90">
                  <c:v>-4</c:v>
                </c:pt>
                <c:pt idx="91">
                  <c:v>-3</c:v>
                </c:pt>
                <c:pt idx="92">
                  <c:v>-2</c:v>
                </c:pt>
                <c:pt idx="93">
                  <c:v>-1</c:v>
                </c:pt>
                <c:pt idx="94">
                  <c:v>0</c:v>
                </c:pt>
                <c:pt idx="95">
                  <c:v>1</c:v>
                </c:pt>
                <c:pt idx="96">
                  <c:v>2</c:v>
                </c:pt>
                <c:pt idx="97">
                  <c:v>3</c:v>
                </c:pt>
                <c:pt idx="98">
                  <c:v>4</c:v>
                </c:pt>
                <c:pt idx="99">
                  <c:v>5</c:v>
                </c:pt>
                <c:pt idx="100">
                  <c:v>6</c:v>
                </c:pt>
                <c:pt idx="101">
                  <c:v>7</c:v>
                </c:pt>
                <c:pt idx="102">
                  <c:v>8</c:v>
                </c:pt>
                <c:pt idx="103">
                  <c:v>9</c:v>
                </c:pt>
                <c:pt idx="104">
                  <c:v>10</c:v>
                </c:pt>
                <c:pt idx="105">
                  <c:v>-10</c:v>
                </c:pt>
                <c:pt idx="106">
                  <c:v>-9</c:v>
                </c:pt>
                <c:pt idx="107">
                  <c:v>-8</c:v>
                </c:pt>
                <c:pt idx="108">
                  <c:v>-7</c:v>
                </c:pt>
                <c:pt idx="109">
                  <c:v>-6</c:v>
                </c:pt>
                <c:pt idx="110">
                  <c:v>-5</c:v>
                </c:pt>
                <c:pt idx="111">
                  <c:v>-4</c:v>
                </c:pt>
                <c:pt idx="112">
                  <c:v>-3</c:v>
                </c:pt>
                <c:pt idx="113">
                  <c:v>-2</c:v>
                </c:pt>
                <c:pt idx="114">
                  <c:v>-1</c:v>
                </c:pt>
                <c:pt idx="115">
                  <c:v>0</c:v>
                </c:pt>
                <c:pt idx="116">
                  <c:v>1</c:v>
                </c:pt>
                <c:pt idx="117">
                  <c:v>2</c:v>
                </c:pt>
                <c:pt idx="118">
                  <c:v>3</c:v>
                </c:pt>
                <c:pt idx="119">
                  <c:v>4</c:v>
                </c:pt>
                <c:pt idx="120">
                  <c:v>5</c:v>
                </c:pt>
                <c:pt idx="121">
                  <c:v>6</c:v>
                </c:pt>
                <c:pt idx="122">
                  <c:v>7</c:v>
                </c:pt>
                <c:pt idx="123">
                  <c:v>8</c:v>
                </c:pt>
                <c:pt idx="124">
                  <c:v>9</c:v>
                </c:pt>
                <c:pt idx="125">
                  <c:v>10</c:v>
                </c:pt>
                <c:pt idx="126">
                  <c:v>-10</c:v>
                </c:pt>
                <c:pt idx="127">
                  <c:v>-9</c:v>
                </c:pt>
                <c:pt idx="128">
                  <c:v>-8</c:v>
                </c:pt>
                <c:pt idx="129">
                  <c:v>-7</c:v>
                </c:pt>
                <c:pt idx="130">
                  <c:v>-6</c:v>
                </c:pt>
                <c:pt idx="131">
                  <c:v>-5</c:v>
                </c:pt>
                <c:pt idx="132">
                  <c:v>-4</c:v>
                </c:pt>
                <c:pt idx="133">
                  <c:v>-3</c:v>
                </c:pt>
                <c:pt idx="134">
                  <c:v>-2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2</c:v>
                </c:pt>
                <c:pt idx="139">
                  <c:v>3</c:v>
                </c:pt>
                <c:pt idx="140">
                  <c:v>4</c:v>
                </c:pt>
                <c:pt idx="141">
                  <c:v>5</c:v>
                </c:pt>
                <c:pt idx="142">
                  <c:v>6</c:v>
                </c:pt>
                <c:pt idx="143">
                  <c:v>7</c:v>
                </c:pt>
                <c:pt idx="144">
                  <c:v>8</c:v>
                </c:pt>
                <c:pt idx="145">
                  <c:v>9</c:v>
                </c:pt>
                <c:pt idx="146">
                  <c:v>10</c:v>
                </c:pt>
                <c:pt idx="147">
                  <c:v>-10</c:v>
                </c:pt>
                <c:pt idx="148">
                  <c:v>-9</c:v>
                </c:pt>
                <c:pt idx="149">
                  <c:v>-8</c:v>
                </c:pt>
                <c:pt idx="150">
                  <c:v>-7</c:v>
                </c:pt>
                <c:pt idx="151">
                  <c:v>-6</c:v>
                </c:pt>
                <c:pt idx="152">
                  <c:v>-5</c:v>
                </c:pt>
                <c:pt idx="153">
                  <c:v>-4</c:v>
                </c:pt>
                <c:pt idx="154">
                  <c:v>-3</c:v>
                </c:pt>
                <c:pt idx="155">
                  <c:v>-2</c:v>
                </c:pt>
                <c:pt idx="156">
                  <c:v>-1</c:v>
                </c:pt>
                <c:pt idx="157">
                  <c:v>0</c:v>
                </c:pt>
                <c:pt idx="158">
                  <c:v>1</c:v>
                </c:pt>
                <c:pt idx="159">
                  <c:v>2</c:v>
                </c:pt>
                <c:pt idx="160">
                  <c:v>3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7</c:v>
                </c:pt>
                <c:pt idx="165">
                  <c:v>8</c:v>
                </c:pt>
                <c:pt idx="166">
                  <c:v>9</c:v>
                </c:pt>
                <c:pt idx="167">
                  <c:v>10</c:v>
                </c:pt>
                <c:pt idx="168">
                  <c:v>-10</c:v>
                </c:pt>
                <c:pt idx="169">
                  <c:v>-9</c:v>
                </c:pt>
                <c:pt idx="170">
                  <c:v>-8</c:v>
                </c:pt>
                <c:pt idx="171">
                  <c:v>-7</c:v>
                </c:pt>
                <c:pt idx="172">
                  <c:v>-6</c:v>
                </c:pt>
                <c:pt idx="173">
                  <c:v>-5</c:v>
                </c:pt>
                <c:pt idx="174">
                  <c:v>-4</c:v>
                </c:pt>
                <c:pt idx="175">
                  <c:v>-3</c:v>
                </c:pt>
                <c:pt idx="176">
                  <c:v>-2</c:v>
                </c:pt>
                <c:pt idx="177">
                  <c:v>-1</c:v>
                </c:pt>
                <c:pt idx="178">
                  <c:v>0</c:v>
                </c:pt>
                <c:pt idx="179">
                  <c:v>1</c:v>
                </c:pt>
                <c:pt idx="180">
                  <c:v>2</c:v>
                </c:pt>
                <c:pt idx="181">
                  <c:v>3</c:v>
                </c:pt>
                <c:pt idx="182">
                  <c:v>4</c:v>
                </c:pt>
                <c:pt idx="183">
                  <c:v>5</c:v>
                </c:pt>
                <c:pt idx="184">
                  <c:v>6</c:v>
                </c:pt>
                <c:pt idx="185">
                  <c:v>7</c:v>
                </c:pt>
                <c:pt idx="186">
                  <c:v>8</c:v>
                </c:pt>
                <c:pt idx="187">
                  <c:v>9</c:v>
                </c:pt>
                <c:pt idx="188">
                  <c:v>10</c:v>
                </c:pt>
                <c:pt idx="189">
                  <c:v>-10</c:v>
                </c:pt>
                <c:pt idx="190">
                  <c:v>-9</c:v>
                </c:pt>
                <c:pt idx="191">
                  <c:v>-8</c:v>
                </c:pt>
                <c:pt idx="192">
                  <c:v>-7</c:v>
                </c:pt>
                <c:pt idx="193">
                  <c:v>-6</c:v>
                </c:pt>
                <c:pt idx="194">
                  <c:v>-5</c:v>
                </c:pt>
                <c:pt idx="195">
                  <c:v>-4</c:v>
                </c:pt>
                <c:pt idx="196">
                  <c:v>-3</c:v>
                </c:pt>
                <c:pt idx="197">
                  <c:v>-2</c:v>
                </c:pt>
                <c:pt idx="198">
                  <c:v>-1</c:v>
                </c:pt>
                <c:pt idx="199">
                  <c:v>0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6</c:v>
                </c:pt>
                <c:pt idx="206">
                  <c:v>7</c:v>
                </c:pt>
                <c:pt idx="207">
                  <c:v>8</c:v>
                </c:pt>
                <c:pt idx="208">
                  <c:v>9</c:v>
                </c:pt>
                <c:pt idx="209">
                  <c:v>10</c:v>
                </c:pt>
                <c:pt idx="210">
                  <c:v>-10</c:v>
                </c:pt>
                <c:pt idx="211">
                  <c:v>-9</c:v>
                </c:pt>
                <c:pt idx="212">
                  <c:v>-8</c:v>
                </c:pt>
                <c:pt idx="213">
                  <c:v>-7</c:v>
                </c:pt>
                <c:pt idx="214">
                  <c:v>-6</c:v>
                </c:pt>
                <c:pt idx="215">
                  <c:v>-5</c:v>
                </c:pt>
                <c:pt idx="216">
                  <c:v>-4</c:v>
                </c:pt>
                <c:pt idx="217">
                  <c:v>-3</c:v>
                </c:pt>
                <c:pt idx="218">
                  <c:v>-2</c:v>
                </c:pt>
                <c:pt idx="219">
                  <c:v>-1</c:v>
                </c:pt>
                <c:pt idx="220">
                  <c:v>0</c:v>
                </c:pt>
                <c:pt idx="221">
                  <c:v>1</c:v>
                </c:pt>
                <c:pt idx="222">
                  <c:v>2</c:v>
                </c:pt>
                <c:pt idx="223">
                  <c:v>3</c:v>
                </c:pt>
                <c:pt idx="224">
                  <c:v>4</c:v>
                </c:pt>
                <c:pt idx="225">
                  <c:v>5</c:v>
                </c:pt>
                <c:pt idx="226">
                  <c:v>6</c:v>
                </c:pt>
                <c:pt idx="227">
                  <c:v>7</c:v>
                </c:pt>
                <c:pt idx="228">
                  <c:v>8</c:v>
                </c:pt>
                <c:pt idx="229">
                  <c:v>9</c:v>
                </c:pt>
                <c:pt idx="230">
                  <c:v>10</c:v>
                </c:pt>
                <c:pt idx="231">
                  <c:v>-10</c:v>
                </c:pt>
                <c:pt idx="232">
                  <c:v>-9</c:v>
                </c:pt>
                <c:pt idx="233">
                  <c:v>-8</c:v>
                </c:pt>
                <c:pt idx="234">
                  <c:v>-7</c:v>
                </c:pt>
                <c:pt idx="235">
                  <c:v>-6</c:v>
                </c:pt>
                <c:pt idx="236">
                  <c:v>-5</c:v>
                </c:pt>
                <c:pt idx="237">
                  <c:v>-4</c:v>
                </c:pt>
                <c:pt idx="238">
                  <c:v>-3</c:v>
                </c:pt>
                <c:pt idx="239">
                  <c:v>-2</c:v>
                </c:pt>
                <c:pt idx="240">
                  <c:v>-1</c:v>
                </c:pt>
                <c:pt idx="241">
                  <c:v>0</c:v>
                </c:pt>
                <c:pt idx="242">
                  <c:v>1</c:v>
                </c:pt>
                <c:pt idx="243">
                  <c:v>2</c:v>
                </c:pt>
                <c:pt idx="244">
                  <c:v>3</c:v>
                </c:pt>
                <c:pt idx="245">
                  <c:v>4</c:v>
                </c:pt>
                <c:pt idx="246">
                  <c:v>5</c:v>
                </c:pt>
                <c:pt idx="247">
                  <c:v>6</c:v>
                </c:pt>
                <c:pt idx="248">
                  <c:v>7</c:v>
                </c:pt>
                <c:pt idx="249">
                  <c:v>8</c:v>
                </c:pt>
                <c:pt idx="250">
                  <c:v>9</c:v>
                </c:pt>
                <c:pt idx="251">
                  <c:v>10</c:v>
                </c:pt>
                <c:pt idx="252">
                  <c:v>-10</c:v>
                </c:pt>
                <c:pt idx="253">
                  <c:v>-9</c:v>
                </c:pt>
                <c:pt idx="254">
                  <c:v>-8</c:v>
                </c:pt>
                <c:pt idx="255">
                  <c:v>-7</c:v>
                </c:pt>
                <c:pt idx="256">
                  <c:v>-6</c:v>
                </c:pt>
                <c:pt idx="257">
                  <c:v>-5</c:v>
                </c:pt>
                <c:pt idx="258">
                  <c:v>-4</c:v>
                </c:pt>
                <c:pt idx="259">
                  <c:v>-3</c:v>
                </c:pt>
                <c:pt idx="260">
                  <c:v>-2</c:v>
                </c:pt>
                <c:pt idx="261">
                  <c:v>-1</c:v>
                </c:pt>
                <c:pt idx="262">
                  <c:v>0</c:v>
                </c:pt>
                <c:pt idx="263">
                  <c:v>1</c:v>
                </c:pt>
                <c:pt idx="264">
                  <c:v>2</c:v>
                </c:pt>
                <c:pt idx="265">
                  <c:v>3</c:v>
                </c:pt>
                <c:pt idx="266">
                  <c:v>4</c:v>
                </c:pt>
                <c:pt idx="267">
                  <c:v>5</c:v>
                </c:pt>
                <c:pt idx="268">
                  <c:v>6</c:v>
                </c:pt>
                <c:pt idx="269">
                  <c:v>7</c:v>
                </c:pt>
                <c:pt idx="270">
                  <c:v>8</c:v>
                </c:pt>
                <c:pt idx="271">
                  <c:v>9</c:v>
                </c:pt>
                <c:pt idx="272">
                  <c:v>10</c:v>
                </c:pt>
                <c:pt idx="273">
                  <c:v>-10</c:v>
                </c:pt>
                <c:pt idx="274">
                  <c:v>-9</c:v>
                </c:pt>
                <c:pt idx="275">
                  <c:v>-8</c:v>
                </c:pt>
                <c:pt idx="276">
                  <c:v>-7</c:v>
                </c:pt>
                <c:pt idx="277">
                  <c:v>-6</c:v>
                </c:pt>
                <c:pt idx="278">
                  <c:v>-5</c:v>
                </c:pt>
                <c:pt idx="279">
                  <c:v>-4</c:v>
                </c:pt>
                <c:pt idx="280">
                  <c:v>-3</c:v>
                </c:pt>
                <c:pt idx="281">
                  <c:v>-2</c:v>
                </c:pt>
                <c:pt idx="282">
                  <c:v>-1</c:v>
                </c:pt>
                <c:pt idx="283">
                  <c:v>0</c:v>
                </c:pt>
                <c:pt idx="284">
                  <c:v>1</c:v>
                </c:pt>
                <c:pt idx="285">
                  <c:v>2</c:v>
                </c:pt>
                <c:pt idx="286">
                  <c:v>3</c:v>
                </c:pt>
                <c:pt idx="287">
                  <c:v>4</c:v>
                </c:pt>
                <c:pt idx="288">
                  <c:v>5</c:v>
                </c:pt>
                <c:pt idx="289">
                  <c:v>6</c:v>
                </c:pt>
                <c:pt idx="290">
                  <c:v>7</c:v>
                </c:pt>
                <c:pt idx="291">
                  <c:v>8</c:v>
                </c:pt>
                <c:pt idx="292">
                  <c:v>9</c:v>
                </c:pt>
                <c:pt idx="293">
                  <c:v>10</c:v>
                </c:pt>
                <c:pt idx="294">
                  <c:v>-10</c:v>
                </c:pt>
                <c:pt idx="295">
                  <c:v>-9</c:v>
                </c:pt>
                <c:pt idx="296">
                  <c:v>-8</c:v>
                </c:pt>
                <c:pt idx="297">
                  <c:v>-7</c:v>
                </c:pt>
                <c:pt idx="298">
                  <c:v>-6</c:v>
                </c:pt>
                <c:pt idx="299">
                  <c:v>-5</c:v>
                </c:pt>
                <c:pt idx="300">
                  <c:v>-4</c:v>
                </c:pt>
                <c:pt idx="301">
                  <c:v>-3</c:v>
                </c:pt>
                <c:pt idx="302">
                  <c:v>-2</c:v>
                </c:pt>
                <c:pt idx="303">
                  <c:v>-1</c:v>
                </c:pt>
                <c:pt idx="304">
                  <c:v>0</c:v>
                </c:pt>
                <c:pt idx="305">
                  <c:v>1</c:v>
                </c:pt>
                <c:pt idx="306">
                  <c:v>2</c:v>
                </c:pt>
                <c:pt idx="307">
                  <c:v>3</c:v>
                </c:pt>
                <c:pt idx="308">
                  <c:v>4</c:v>
                </c:pt>
                <c:pt idx="309">
                  <c:v>5</c:v>
                </c:pt>
                <c:pt idx="310">
                  <c:v>6</c:v>
                </c:pt>
                <c:pt idx="311">
                  <c:v>7</c:v>
                </c:pt>
                <c:pt idx="312">
                  <c:v>8</c:v>
                </c:pt>
                <c:pt idx="313">
                  <c:v>9</c:v>
                </c:pt>
                <c:pt idx="314">
                  <c:v>10</c:v>
                </c:pt>
                <c:pt idx="315">
                  <c:v>-10</c:v>
                </c:pt>
                <c:pt idx="316">
                  <c:v>-9</c:v>
                </c:pt>
                <c:pt idx="317">
                  <c:v>-8</c:v>
                </c:pt>
                <c:pt idx="318">
                  <c:v>-7</c:v>
                </c:pt>
                <c:pt idx="319">
                  <c:v>-6</c:v>
                </c:pt>
                <c:pt idx="320">
                  <c:v>-5</c:v>
                </c:pt>
                <c:pt idx="321">
                  <c:v>-4</c:v>
                </c:pt>
                <c:pt idx="322">
                  <c:v>-3</c:v>
                </c:pt>
                <c:pt idx="323">
                  <c:v>-2</c:v>
                </c:pt>
                <c:pt idx="324">
                  <c:v>-1</c:v>
                </c:pt>
                <c:pt idx="325">
                  <c:v>0</c:v>
                </c:pt>
                <c:pt idx="326">
                  <c:v>1</c:v>
                </c:pt>
                <c:pt idx="327">
                  <c:v>2</c:v>
                </c:pt>
                <c:pt idx="328">
                  <c:v>3</c:v>
                </c:pt>
                <c:pt idx="329">
                  <c:v>4</c:v>
                </c:pt>
                <c:pt idx="330">
                  <c:v>5</c:v>
                </c:pt>
                <c:pt idx="331">
                  <c:v>6</c:v>
                </c:pt>
                <c:pt idx="332">
                  <c:v>7</c:v>
                </c:pt>
                <c:pt idx="333">
                  <c:v>8</c:v>
                </c:pt>
                <c:pt idx="334">
                  <c:v>9</c:v>
                </c:pt>
                <c:pt idx="335">
                  <c:v>10</c:v>
                </c:pt>
                <c:pt idx="336">
                  <c:v>-10</c:v>
                </c:pt>
                <c:pt idx="337">
                  <c:v>-9</c:v>
                </c:pt>
                <c:pt idx="338">
                  <c:v>-8</c:v>
                </c:pt>
                <c:pt idx="339">
                  <c:v>-7</c:v>
                </c:pt>
                <c:pt idx="340">
                  <c:v>-6</c:v>
                </c:pt>
                <c:pt idx="341">
                  <c:v>-5</c:v>
                </c:pt>
                <c:pt idx="342">
                  <c:v>-4</c:v>
                </c:pt>
                <c:pt idx="343">
                  <c:v>-3</c:v>
                </c:pt>
                <c:pt idx="344">
                  <c:v>-2</c:v>
                </c:pt>
                <c:pt idx="345">
                  <c:v>-1</c:v>
                </c:pt>
                <c:pt idx="346">
                  <c:v>0</c:v>
                </c:pt>
                <c:pt idx="347">
                  <c:v>1</c:v>
                </c:pt>
                <c:pt idx="348">
                  <c:v>2</c:v>
                </c:pt>
                <c:pt idx="349">
                  <c:v>3</c:v>
                </c:pt>
                <c:pt idx="350">
                  <c:v>4</c:v>
                </c:pt>
                <c:pt idx="351">
                  <c:v>5</c:v>
                </c:pt>
                <c:pt idx="352">
                  <c:v>6</c:v>
                </c:pt>
                <c:pt idx="353">
                  <c:v>7</c:v>
                </c:pt>
                <c:pt idx="354">
                  <c:v>8</c:v>
                </c:pt>
                <c:pt idx="355">
                  <c:v>9</c:v>
                </c:pt>
                <c:pt idx="356">
                  <c:v>10</c:v>
                </c:pt>
                <c:pt idx="357">
                  <c:v>-10</c:v>
                </c:pt>
                <c:pt idx="358">
                  <c:v>-9</c:v>
                </c:pt>
                <c:pt idx="359">
                  <c:v>-8</c:v>
                </c:pt>
                <c:pt idx="360">
                  <c:v>-7</c:v>
                </c:pt>
                <c:pt idx="361">
                  <c:v>-6</c:v>
                </c:pt>
                <c:pt idx="362">
                  <c:v>-5</c:v>
                </c:pt>
                <c:pt idx="363">
                  <c:v>-4</c:v>
                </c:pt>
                <c:pt idx="364">
                  <c:v>-3</c:v>
                </c:pt>
                <c:pt idx="365">
                  <c:v>-2</c:v>
                </c:pt>
                <c:pt idx="366">
                  <c:v>-1</c:v>
                </c:pt>
                <c:pt idx="367">
                  <c:v>0</c:v>
                </c:pt>
                <c:pt idx="368">
                  <c:v>1</c:v>
                </c:pt>
                <c:pt idx="369">
                  <c:v>2</c:v>
                </c:pt>
                <c:pt idx="370">
                  <c:v>3</c:v>
                </c:pt>
                <c:pt idx="371">
                  <c:v>4</c:v>
                </c:pt>
                <c:pt idx="372">
                  <c:v>5</c:v>
                </c:pt>
                <c:pt idx="373">
                  <c:v>6</c:v>
                </c:pt>
                <c:pt idx="374">
                  <c:v>7</c:v>
                </c:pt>
                <c:pt idx="375">
                  <c:v>8</c:v>
                </c:pt>
                <c:pt idx="376">
                  <c:v>9</c:v>
                </c:pt>
                <c:pt idx="377">
                  <c:v>10</c:v>
                </c:pt>
                <c:pt idx="378">
                  <c:v>-10</c:v>
                </c:pt>
                <c:pt idx="379">
                  <c:v>-9</c:v>
                </c:pt>
                <c:pt idx="380">
                  <c:v>-8</c:v>
                </c:pt>
                <c:pt idx="381">
                  <c:v>-7</c:v>
                </c:pt>
                <c:pt idx="382">
                  <c:v>-6</c:v>
                </c:pt>
                <c:pt idx="383">
                  <c:v>-5</c:v>
                </c:pt>
                <c:pt idx="384">
                  <c:v>-4</c:v>
                </c:pt>
                <c:pt idx="385">
                  <c:v>-3</c:v>
                </c:pt>
                <c:pt idx="386">
                  <c:v>-2</c:v>
                </c:pt>
                <c:pt idx="387">
                  <c:v>-1</c:v>
                </c:pt>
                <c:pt idx="388">
                  <c:v>0</c:v>
                </c:pt>
                <c:pt idx="389">
                  <c:v>1</c:v>
                </c:pt>
                <c:pt idx="390">
                  <c:v>2</c:v>
                </c:pt>
                <c:pt idx="391">
                  <c:v>3</c:v>
                </c:pt>
                <c:pt idx="392">
                  <c:v>4</c:v>
                </c:pt>
                <c:pt idx="393">
                  <c:v>5</c:v>
                </c:pt>
                <c:pt idx="394">
                  <c:v>6</c:v>
                </c:pt>
                <c:pt idx="395">
                  <c:v>7</c:v>
                </c:pt>
                <c:pt idx="396">
                  <c:v>8</c:v>
                </c:pt>
                <c:pt idx="397">
                  <c:v>9</c:v>
                </c:pt>
                <c:pt idx="398">
                  <c:v>10</c:v>
                </c:pt>
                <c:pt idx="399">
                  <c:v>-10</c:v>
                </c:pt>
                <c:pt idx="400">
                  <c:v>-9</c:v>
                </c:pt>
                <c:pt idx="401">
                  <c:v>-8</c:v>
                </c:pt>
                <c:pt idx="402">
                  <c:v>-7</c:v>
                </c:pt>
                <c:pt idx="403">
                  <c:v>-6</c:v>
                </c:pt>
                <c:pt idx="404">
                  <c:v>-5</c:v>
                </c:pt>
                <c:pt idx="405">
                  <c:v>-4</c:v>
                </c:pt>
                <c:pt idx="406">
                  <c:v>-3</c:v>
                </c:pt>
                <c:pt idx="407">
                  <c:v>-2</c:v>
                </c:pt>
                <c:pt idx="408">
                  <c:v>-1</c:v>
                </c:pt>
                <c:pt idx="409">
                  <c:v>0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4</c:v>
                </c:pt>
                <c:pt idx="414">
                  <c:v>5</c:v>
                </c:pt>
                <c:pt idx="415">
                  <c:v>6</c:v>
                </c:pt>
                <c:pt idx="416">
                  <c:v>7</c:v>
                </c:pt>
                <c:pt idx="417">
                  <c:v>8</c:v>
                </c:pt>
                <c:pt idx="418">
                  <c:v>9</c:v>
                </c:pt>
                <c:pt idx="419">
                  <c:v>10</c:v>
                </c:pt>
                <c:pt idx="420">
                  <c:v>-10</c:v>
                </c:pt>
                <c:pt idx="421">
                  <c:v>-9</c:v>
                </c:pt>
                <c:pt idx="422">
                  <c:v>-8</c:v>
                </c:pt>
                <c:pt idx="423">
                  <c:v>-7</c:v>
                </c:pt>
                <c:pt idx="424">
                  <c:v>-6</c:v>
                </c:pt>
                <c:pt idx="425">
                  <c:v>-5</c:v>
                </c:pt>
                <c:pt idx="426">
                  <c:v>-4</c:v>
                </c:pt>
                <c:pt idx="427">
                  <c:v>-3</c:v>
                </c:pt>
                <c:pt idx="428">
                  <c:v>-2</c:v>
                </c:pt>
                <c:pt idx="429">
                  <c:v>-1</c:v>
                </c:pt>
                <c:pt idx="430">
                  <c:v>0</c:v>
                </c:pt>
                <c:pt idx="431">
                  <c:v>1</c:v>
                </c:pt>
                <c:pt idx="432">
                  <c:v>2</c:v>
                </c:pt>
                <c:pt idx="433">
                  <c:v>3</c:v>
                </c:pt>
                <c:pt idx="434">
                  <c:v>4</c:v>
                </c:pt>
                <c:pt idx="435">
                  <c:v>5</c:v>
                </c:pt>
                <c:pt idx="436">
                  <c:v>6</c:v>
                </c:pt>
                <c:pt idx="437">
                  <c:v>7</c:v>
                </c:pt>
                <c:pt idx="438">
                  <c:v>8</c:v>
                </c:pt>
                <c:pt idx="439">
                  <c:v>9</c:v>
                </c:pt>
                <c:pt idx="440">
                  <c:v>10</c:v>
                </c:pt>
              </c:numCache>
            </c:numRef>
          </c:xVal>
          <c:yVal>
            <c:numRef>
              <c:f>Paths!$AA$1:$AA$441</c:f>
              <c:numCache>
                <c:formatCode>General</c:formatCode>
                <c:ptCount val="44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-9</c:v>
                </c:pt>
                <c:pt idx="22">
                  <c:v>-9</c:v>
                </c:pt>
                <c:pt idx="23">
                  <c:v>-9</c:v>
                </c:pt>
                <c:pt idx="24">
                  <c:v>-9</c:v>
                </c:pt>
                <c:pt idx="25">
                  <c:v>-9</c:v>
                </c:pt>
                <c:pt idx="26">
                  <c:v>-9</c:v>
                </c:pt>
                <c:pt idx="27">
                  <c:v>-9</c:v>
                </c:pt>
                <c:pt idx="28">
                  <c:v>-9</c:v>
                </c:pt>
                <c:pt idx="29">
                  <c:v>-9</c:v>
                </c:pt>
                <c:pt idx="30">
                  <c:v>-9</c:v>
                </c:pt>
                <c:pt idx="31">
                  <c:v>-9</c:v>
                </c:pt>
                <c:pt idx="32">
                  <c:v>-9</c:v>
                </c:pt>
                <c:pt idx="33">
                  <c:v>-9</c:v>
                </c:pt>
                <c:pt idx="34">
                  <c:v>-9</c:v>
                </c:pt>
                <c:pt idx="35">
                  <c:v>-9</c:v>
                </c:pt>
                <c:pt idx="36">
                  <c:v>-9</c:v>
                </c:pt>
                <c:pt idx="37">
                  <c:v>-9</c:v>
                </c:pt>
                <c:pt idx="38">
                  <c:v>-9</c:v>
                </c:pt>
                <c:pt idx="39">
                  <c:v>-9</c:v>
                </c:pt>
                <c:pt idx="40">
                  <c:v>-9</c:v>
                </c:pt>
                <c:pt idx="41">
                  <c:v>-9</c:v>
                </c:pt>
                <c:pt idx="42">
                  <c:v>-8</c:v>
                </c:pt>
                <c:pt idx="43">
                  <c:v>-8</c:v>
                </c:pt>
                <c:pt idx="44">
                  <c:v>-8</c:v>
                </c:pt>
                <c:pt idx="45">
                  <c:v>-8</c:v>
                </c:pt>
                <c:pt idx="46">
                  <c:v>-8</c:v>
                </c:pt>
                <c:pt idx="47">
                  <c:v>-8</c:v>
                </c:pt>
                <c:pt idx="48">
                  <c:v>-8</c:v>
                </c:pt>
                <c:pt idx="49">
                  <c:v>-8</c:v>
                </c:pt>
                <c:pt idx="50">
                  <c:v>-8</c:v>
                </c:pt>
                <c:pt idx="51">
                  <c:v>-8</c:v>
                </c:pt>
                <c:pt idx="52">
                  <c:v>-8</c:v>
                </c:pt>
                <c:pt idx="53">
                  <c:v>-8</c:v>
                </c:pt>
                <c:pt idx="54">
                  <c:v>-8</c:v>
                </c:pt>
                <c:pt idx="55">
                  <c:v>-8</c:v>
                </c:pt>
                <c:pt idx="56">
                  <c:v>-8</c:v>
                </c:pt>
                <c:pt idx="57">
                  <c:v>-8</c:v>
                </c:pt>
                <c:pt idx="58">
                  <c:v>-8</c:v>
                </c:pt>
                <c:pt idx="59">
                  <c:v>-8</c:v>
                </c:pt>
                <c:pt idx="60">
                  <c:v>-8</c:v>
                </c:pt>
                <c:pt idx="61">
                  <c:v>-8</c:v>
                </c:pt>
                <c:pt idx="62">
                  <c:v>-8</c:v>
                </c:pt>
                <c:pt idx="63">
                  <c:v>-7</c:v>
                </c:pt>
                <c:pt idx="64">
                  <c:v>-7</c:v>
                </c:pt>
                <c:pt idx="65">
                  <c:v>-7</c:v>
                </c:pt>
                <c:pt idx="66">
                  <c:v>-7</c:v>
                </c:pt>
                <c:pt idx="67">
                  <c:v>-7</c:v>
                </c:pt>
                <c:pt idx="68">
                  <c:v>-7</c:v>
                </c:pt>
                <c:pt idx="69">
                  <c:v>-7</c:v>
                </c:pt>
                <c:pt idx="70">
                  <c:v>-7</c:v>
                </c:pt>
                <c:pt idx="71">
                  <c:v>-7</c:v>
                </c:pt>
                <c:pt idx="72">
                  <c:v>-7</c:v>
                </c:pt>
                <c:pt idx="73">
                  <c:v>-7</c:v>
                </c:pt>
                <c:pt idx="74">
                  <c:v>-7</c:v>
                </c:pt>
                <c:pt idx="75">
                  <c:v>-7</c:v>
                </c:pt>
                <c:pt idx="76">
                  <c:v>-7</c:v>
                </c:pt>
                <c:pt idx="77">
                  <c:v>-7</c:v>
                </c:pt>
                <c:pt idx="78">
                  <c:v>-7</c:v>
                </c:pt>
                <c:pt idx="79">
                  <c:v>-7</c:v>
                </c:pt>
                <c:pt idx="80">
                  <c:v>-7</c:v>
                </c:pt>
                <c:pt idx="81">
                  <c:v>-7</c:v>
                </c:pt>
                <c:pt idx="82">
                  <c:v>-7</c:v>
                </c:pt>
                <c:pt idx="83">
                  <c:v>-7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-4</c:v>
                </c:pt>
                <c:pt idx="127">
                  <c:v>-4</c:v>
                </c:pt>
                <c:pt idx="128">
                  <c:v>-4</c:v>
                </c:pt>
                <c:pt idx="129">
                  <c:v>-4</c:v>
                </c:pt>
                <c:pt idx="130">
                  <c:v>-4</c:v>
                </c:pt>
                <c:pt idx="131">
                  <c:v>-4</c:v>
                </c:pt>
                <c:pt idx="132">
                  <c:v>-4</c:v>
                </c:pt>
                <c:pt idx="133">
                  <c:v>-4</c:v>
                </c:pt>
                <c:pt idx="134">
                  <c:v>-4</c:v>
                </c:pt>
                <c:pt idx="135">
                  <c:v>-4</c:v>
                </c:pt>
                <c:pt idx="136">
                  <c:v>-4</c:v>
                </c:pt>
                <c:pt idx="137">
                  <c:v>-4</c:v>
                </c:pt>
                <c:pt idx="138">
                  <c:v>-4</c:v>
                </c:pt>
                <c:pt idx="139">
                  <c:v>-4</c:v>
                </c:pt>
                <c:pt idx="140">
                  <c:v>-4</c:v>
                </c:pt>
                <c:pt idx="141">
                  <c:v>-4</c:v>
                </c:pt>
                <c:pt idx="142">
                  <c:v>-4</c:v>
                </c:pt>
                <c:pt idx="143">
                  <c:v>-4</c:v>
                </c:pt>
                <c:pt idx="144">
                  <c:v>-4</c:v>
                </c:pt>
                <c:pt idx="145">
                  <c:v>-4</c:v>
                </c:pt>
                <c:pt idx="146">
                  <c:v>-4</c:v>
                </c:pt>
                <c:pt idx="147">
                  <c:v>-3</c:v>
                </c:pt>
                <c:pt idx="148">
                  <c:v>-3</c:v>
                </c:pt>
                <c:pt idx="149">
                  <c:v>-3</c:v>
                </c:pt>
                <c:pt idx="150">
                  <c:v>-3</c:v>
                </c:pt>
                <c:pt idx="151">
                  <c:v>-3</c:v>
                </c:pt>
                <c:pt idx="152">
                  <c:v>-3</c:v>
                </c:pt>
                <c:pt idx="153">
                  <c:v>-3</c:v>
                </c:pt>
                <c:pt idx="154">
                  <c:v>-3</c:v>
                </c:pt>
                <c:pt idx="155">
                  <c:v>-3</c:v>
                </c:pt>
                <c:pt idx="156">
                  <c:v>-3</c:v>
                </c:pt>
                <c:pt idx="157">
                  <c:v>-3</c:v>
                </c:pt>
                <c:pt idx="158">
                  <c:v>-3</c:v>
                </c:pt>
                <c:pt idx="159">
                  <c:v>-3</c:v>
                </c:pt>
                <c:pt idx="160">
                  <c:v>-3</c:v>
                </c:pt>
                <c:pt idx="161">
                  <c:v>-3</c:v>
                </c:pt>
                <c:pt idx="162">
                  <c:v>-3</c:v>
                </c:pt>
                <c:pt idx="163">
                  <c:v>-3</c:v>
                </c:pt>
                <c:pt idx="164">
                  <c:v>-3</c:v>
                </c:pt>
                <c:pt idx="165">
                  <c:v>-3</c:v>
                </c:pt>
                <c:pt idx="166">
                  <c:v>-3</c:v>
                </c:pt>
                <c:pt idx="167">
                  <c:v>-3</c:v>
                </c:pt>
                <c:pt idx="168">
                  <c:v>-2</c:v>
                </c:pt>
                <c:pt idx="169">
                  <c:v>-2</c:v>
                </c:pt>
                <c:pt idx="170">
                  <c:v>-2</c:v>
                </c:pt>
                <c:pt idx="171">
                  <c:v>-2</c:v>
                </c:pt>
                <c:pt idx="172">
                  <c:v>-2</c:v>
                </c:pt>
                <c:pt idx="173">
                  <c:v>-2</c:v>
                </c:pt>
                <c:pt idx="174">
                  <c:v>-2</c:v>
                </c:pt>
                <c:pt idx="175">
                  <c:v>-2</c:v>
                </c:pt>
                <c:pt idx="176">
                  <c:v>-2</c:v>
                </c:pt>
                <c:pt idx="177">
                  <c:v>-2</c:v>
                </c:pt>
                <c:pt idx="178">
                  <c:v>-2</c:v>
                </c:pt>
                <c:pt idx="179">
                  <c:v>-2</c:v>
                </c:pt>
                <c:pt idx="180">
                  <c:v>-2</c:v>
                </c:pt>
                <c:pt idx="181">
                  <c:v>-2</c:v>
                </c:pt>
                <c:pt idx="182">
                  <c:v>-2</c:v>
                </c:pt>
                <c:pt idx="183">
                  <c:v>-2</c:v>
                </c:pt>
                <c:pt idx="184">
                  <c:v>-2</c:v>
                </c:pt>
                <c:pt idx="185">
                  <c:v>-2</c:v>
                </c:pt>
                <c:pt idx="186">
                  <c:v>-2</c:v>
                </c:pt>
                <c:pt idx="187">
                  <c:v>-2</c:v>
                </c:pt>
                <c:pt idx="188">
                  <c:v>-2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4</c:v>
                </c:pt>
                <c:pt idx="306">
                  <c:v>4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6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6</c:v>
                </c:pt>
                <c:pt idx="348">
                  <c:v>6</c:v>
                </c:pt>
                <c:pt idx="349">
                  <c:v>6</c:v>
                </c:pt>
                <c:pt idx="350">
                  <c:v>6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8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9</c:v>
                </c:pt>
                <c:pt idx="419">
                  <c:v>9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Paths!$AC$1:$AC$441</c15:f>
                <c15:dlblRangeCache>
                  <c:ptCount val="441"/>
                  <c:pt idx="0">
                    <c:v>-10, -10</c:v>
                  </c:pt>
                  <c:pt idx="1">
                    <c:v>-9, -10</c:v>
                  </c:pt>
                  <c:pt idx="2">
                    <c:v>-8, -10</c:v>
                  </c:pt>
                  <c:pt idx="3">
                    <c:v>-7, -10</c:v>
                  </c:pt>
                  <c:pt idx="4">
                    <c:v>-6, -10</c:v>
                  </c:pt>
                  <c:pt idx="5">
                    <c:v>-5, -10</c:v>
                  </c:pt>
                  <c:pt idx="6">
                    <c:v>-4, -10</c:v>
                  </c:pt>
                  <c:pt idx="7">
                    <c:v>-3, -10</c:v>
                  </c:pt>
                  <c:pt idx="8">
                    <c:v>-2, -10</c:v>
                  </c:pt>
                  <c:pt idx="9">
                    <c:v>-1, -10</c:v>
                  </c:pt>
                  <c:pt idx="10">
                    <c:v>0, -10</c:v>
                  </c:pt>
                  <c:pt idx="11">
                    <c:v>1, -10</c:v>
                  </c:pt>
                  <c:pt idx="12">
                    <c:v>2, -10</c:v>
                  </c:pt>
                  <c:pt idx="13">
                    <c:v>3, -10</c:v>
                  </c:pt>
                  <c:pt idx="14">
                    <c:v>4, -10</c:v>
                  </c:pt>
                  <c:pt idx="15">
                    <c:v>5, -10</c:v>
                  </c:pt>
                  <c:pt idx="16">
                    <c:v>6, -10</c:v>
                  </c:pt>
                  <c:pt idx="17">
                    <c:v>7, -10</c:v>
                  </c:pt>
                  <c:pt idx="18">
                    <c:v>8, -10</c:v>
                  </c:pt>
                  <c:pt idx="19">
                    <c:v>9, -10</c:v>
                  </c:pt>
                  <c:pt idx="20">
                    <c:v>10, -10</c:v>
                  </c:pt>
                  <c:pt idx="21">
                    <c:v>-10, -9</c:v>
                  </c:pt>
                  <c:pt idx="22">
                    <c:v>-9, -9</c:v>
                  </c:pt>
                  <c:pt idx="23">
                    <c:v>-8, -9</c:v>
                  </c:pt>
                  <c:pt idx="24">
                    <c:v>-7, -9</c:v>
                  </c:pt>
                  <c:pt idx="25">
                    <c:v>-6, -9</c:v>
                  </c:pt>
                  <c:pt idx="26">
                    <c:v>-5, -9</c:v>
                  </c:pt>
                  <c:pt idx="27">
                    <c:v>-4, -9</c:v>
                  </c:pt>
                  <c:pt idx="28">
                    <c:v>-3, -9</c:v>
                  </c:pt>
                  <c:pt idx="29">
                    <c:v>-2, -9</c:v>
                  </c:pt>
                  <c:pt idx="30">
                    <c:v>-1, -9</c:v>
                  </c:pt>
                  <c:pt idx="31">
                    <c:v>0, -9</c:v>
                  </c:pt>
                  <c:pt idx="32">
                    <c:v>1, -9</c:v>
                  </c:pt>
                  <c:pt idx="33">
                    <c:v>2, -9</c:v>
                  </c:pt>
                  <c:pt idx="34">
                    <c:v>3, -9</c:v>
                  </c:pt>
                  <c:pt idx="35">
                    <c:v>4, -9</c:v>
                  </c:pt>
                  <c:pt idx="36">
                    <c:v>5, -9</c:v>
                  </c:pt>
                  <c:pt idx="37">
                    <c:v>6, -9</c:v>
                  </c:pt>
                  <c:pt idx="38">
                    <c:v>7, -9</c:v>
                  </c:pt>
                  <c:pt idx="39">
                    <c:v>8, -9</c:v>
                  </c:pt>
                  <c:pt idx="40">
                    <c:v>9, -9</c:v>
                  </c:pt>
                  <c:pt idx="41">
                    <c:v>10, -9</c:v>
                  </c:pt>
                  <c:pt idx="42">
                    <c:v>-10, -8</c:v>
                  </c:pt>
                  <c:pt idx="43">
                    <c:v>-9, -8</c:v>
                  </c:pt>
                  <c:pt idx="44">
                    <c:v>-8, -8</c:v>
                  </c:pt>
                  <c:pt idx="45">
                    <c:v>-7, -8</c:v>
                  </c:pt>
                  <c:pt idx="46">
                    <c:v>-6, -8</c:v>
                  </c:pt>
                  <c:pt idx="47">
                    <c:v>-5, -8</c:v>
                  </c:pt>
                  <c:pt idx="48">
                    <c:v>-4, -8</c:v>
                  </c:pt>
                  <c:pt idx="49">
                    <c:v>-3, -8</c:v>
                  </c:pt>
                  <c:pt idx="50">
                    <c:v>-2, -8</c:v>
                  </c:pt>
                  <c:pt idx="51">
                    <c:v>-1, -8</c:v>
                  </c:pt>
                  <c:pt idx="52">
                    <c:v>0, -8</c:v>
                  </c:pt>
                  <c:pt idx="53">
                    <c:v>1, -8</c:v>
                  </c:pt>
                  <c:pt idx="54">
                    <c:v>2, -8</c:v>
                  </c:pt>
                  <c:pt idx="55">
                    <c:v>3, -8</c:v>
                  </c:pt>
                  <c:pt idx="56">
                    <c:v>4, -8</c:v>
                  </c:pt>
                  <c:pt idx="57">
                    <c:v>5, -8</c:v>
                  </c:pt>
                  <c:pt idx="58">
                    <c:v>6, -8</c:v>
                  </c:pt>
                  <c:pt idx="59">
                    <c:v>7, -8</c:v>
                  </c:pt>
                  <c:pt idx="60">
                    <c:v>8, -8</c:v>
                  </c:pt>
                  <c:pt idx="61">
                    <c:v>9, -8</c:v>
                  </c:pt>
                  <c:pt idx="62">
                    <c:v>10, -8</c:v>
                  </c:pt>
                  <c:pt idx="63">
                    <c:v>-10, -7</c:v>
                  </c:pt>
                  <c:pt idx="64">
                    <c:v>-9, -7</c:v>
                  </c:pt>
                  <c:pt idx="65">
                    <c:v>-8, -7</c:v>
                  </c:pt>
                  <c:pt idx="66">
                    <c:v>-7, -7</c:v>
                  </c:pt>
                  <c:pt idx="67">
                    <c:v>-6, -7</c:v>
                  </c:pt>
                  <c:pt idx="68">
                    <c:v>-5, -7</c:v>
                  </c:pt>
                  <c:pt idx="69">
                    <c:v>-4, -7</c:v>
                  </c:pt>
                  <c:pt idx="70">
                    <c:v>-3, -7</c:v>
                  </c:pt>
                  <c:pt idx="71">
                    <c:v>-2, -7</c:v>
                  </c:pt>
                  <c:pt idx="72">
                    <c:v>-1, -7</c:v>
                  </c:pt>
                  <c:pt idx="73">
                    <c:v>0, -7</c:v>
                  </c:pt>
                  <c:pt idx="74">
                    <c:v>1, -7</c:v>
                  </c:pt>
                  <c:pt idx="75">
                    <c:v>2, -7</c:v>
                  </c:pt>
                  <c:pt idx="76">
                    <c:v>3, -7</c:v>
                  </c:pt>
                  <c:pt idx="77">
                    <c:v>4, -7</c:v>
                  </c:pt>
                  <c:pt idx="78">
                    <c:v>5, -7</c:v>
                  </c:pt>
                  <c:pt idx="79">
                    <c:v>6, -7</c:v>
                  </c:pt>
                  <c:pt idx="80">
                    <c:v>7, -7</c:v>
                  </c:pt>
                  <c:pt idx="81">
                    <c:v>8, -7</c:v>
                  </c:pt>
                  <c:pt idx="82">
                    <c:v>9, -7</c:v>
                  </c:pt>
                  <c:pt idx="83">
                    <c:v>10, -7</c:v>
                  </c:pt>
                  <c:pt idx="84">
                    <c:v>-10, -6</c:v>
                  </c:pt>
                  <c:pt idx="85">
                    <c:v>-9, -6</c:v>
                  </c:pt>
                  <c:pt idx="86">
                    <c:v>-8, -6</c:v>
                  </c:pt>
                  <c:pt idx="87">
                    <c:v>-7, -6</c:v>
                  </c:pt>
                  <c:pt idx="88">
                    <c:v>-6, -6</c:v>
                  </c:pt>
                  <c:pt idx="89">
                    <c:v>-5, -6</c:v>
                  </c:pt>
                  <c:pt idx="90">
                    <c:v>-4, -6</c:v>
                  </c:pt>
                  <c:pt idx="91">
                    <c:v>-3, -6</c:v>
                  </c:pt>
                  <c:pt idx="92">
                    <c:v>-2, -6</c:v>
                  </c:pt>
                  <c:pt idx="93">
                    <c:v>-1, -6</c:v>
                  </c:pt>
                  <c:pt idx="94">
                    <c:v>0, -6</c:v>
                  </c:pt>
                  <c:pt idx="95">
                    <c:v>1, -6</c:v>
                  </c:pt>
                  <c:pt idx="96">
                    <c:v>2, -6</c:v>
                  </c:pt>
                  <c:pt idx="97">
                    <c:v>3, -6</c:v>
                  </c:pt>
                  <c:pt idx="98">
                    <c:v>4, -6</c:v>
                  </c:pt>
                  <c:pt idx="99">
                    <c:v>5, -6</c:v>
                  </c:pt>
                  <c:pt idx="100">
                    <c:v>6, -6</c:v>
                  </c:pt>
                  <c:pt idx="101">
                    <c:v>7, -6</c:v>
                  </c:pt>
                  <c:pt idx="102">
                    <c:v>8, -6</c:v>
                  </c:pt>
                  <c:pt idx="103">
                    <c:v>9, -6</c:v>
                  </c:pt>
                  <c:pt idx="104">
                    <c:v>10, -6</c:v>
                  </c:pt>
                  <c:pt idx="105">
                    <c:v>-10, -5</c:v>
                  </c:pt>
                  <c:pt idx="106">
                    <c:v>-9, -5</c:v>
                  </c:pt>
                  <c:pt idx="107">
                    <c:v>-8, -5</c:v>
                  </c:pt>
                  <c:pt idx="108">
                    <c:v>-7, -5</c:v>
                  </c:pt>
                  <c:pt idx="109">
                    <c:v>-6, -5</c:v>
                  </c:pt>
                  <c:pt idx="110">
                    <c:v>-5, -5</c:v>
                  </c:pt>
                  <c:pt idx="111">
                    <c:v>-4, -5</c:v>
                  </c:pt>
                  <c:pt idx="112">
                    <c:v>-3, -5</c:v>
                  </c:pt>
                  <c:pt idx="113">
                    <c:v>-2, -5</c:v>
                  </c:pt>
                  <c:pt idx="114">
                    <c:v>-1, -5</c:v>
                  </c:pt>
                  <c:pt idx="115">
                    <c:v>0, -5</c:v>
                  </c:pt>
                  <c:pt idx="116">
                    <c:v>1, -5</c:v>
                  </c:pt>
                  <c:pt idx="117">
                    <c:v>2, -5</c:v>
                  </c:pt>
                  <c:pt idx="118">
                    <c:v>3, -5</c:v>
                  </c:pt>
                  <c:pt idx="119">
                    <c:v>4, -5</c:v>
                  </c:pt>
                  <c:pt idx="120">
                    <c:v>5, -5</c:v>
                  </c:pt>
                  <c:pt idx="121">
                    <c:v>6, -5</c:v>
                  </c:pt>
                  <c:pt idx="122">
                    <c:v>7, -5</c:v>
                  </c:pt>
                  <c:pt idx="123">
                    <c:v>8, -5</c:v>
                  </c:pt>
                  <c:pt idx="124">
                    <c:v>9, -5</c:v>
                  </c:pt>
                  <c:pt idx="125">
                    <c:v>10, -5</c:v>
                  </c:pt>
                  <c:pt idx="126">
                    <c:v>-10, -4</c:v>
                  </c:pt>
                  <c:pt idx="127">
                    <c:v>-9, -4</c:v>
                  </c:pt>
                  <c:pt idx="128">
                    <c:v>-8, -4</c:v>
                  </c:pt>
                  <c:pt idx="129">
                    <c:v>-7, -4</c:v>
                  </c:pt>
                  <c:pt idx="130">
                    <c:v>-6, -4</c:v>
                  </c:pt>
                  <c:pt idx="131">
                    <c:v>-5, -4</c:v>
                  </c:pt>
                  <c:pt idx="132">
                    <c:v>-4, -4</c:v>
                  </c:pt>
                  <c:pt idx="133">
                    <c:v>-3, -4</c:v>
                  </c:pt>
                  <c:pt idx="134">
                    <c:v>-2, -4</c:v>
                  </c:pt>
                  <c:pt idx="135">
                    <c:v>-1, -4</c:v>
                  </c:pt>
                  <c:pt idx="136">
                    <c:v>0, -4</c:v>
                  </c:pt>
                  <c:pt idx="137">
                    <c:v>1, -4</c:v>
                  </c:pt>
                  <c:pt idx="138">
                    <c:v>2, -4</c:v>
                  </c:pt>
                  <c:pt idx="139">
                    <c:v>3, -4</c:v>
                  </c:pt>
                  <c:pt idx="140">
                    <c:v>4, -4</c:v>
                  </c:pt>
                  <c:pt idx="141">
                    <c:v>5, -4</c:v>
                  </c:pt>
                  <c:pt idx="142">
                    <c:v>6, -4</c:v>
                  </c:pt>
                  <c:pt idx="143">
                    <c:v>7, -4</c:v>
                  </c:pt>
                  <c:pt idx="144">
                    <c:v>8, -4</c:v>
                  </c:pt>
                  <c:pt idx="145">
                    <c:v>9, -4</c:v>
                  </c:pt>
                  <c:pt idx="146">
                    <c:v>10, -4</c:v>
                  </c:pt>
                  <c:pt idx="147">
                    <c:v>-10, -3</c:v>
                  </c:pt>
                  <c:pt idx="148">
                    <c:v>-9, -3</c:v>
                  </c:pt>
                  <c:pt idx="149">
                    <c:v>-8, -3</c:v>
                  </c:pt>
                  <c:pt idx="150">
                    <c:v>-7, -3</c:v>
                  </c:pt>
                  <c:pt idx="151">
                    <c:v>-6, -3</c:v>
                  </c:pt>
                  <c:pt idx="152">
                    <c:v>-5, -3</c:v>
                  </c:pt>
                  <c:pt idx="153">
                    <c:v>-4, -3</c:v>
                  </c:pt>
                  <c:pt idx="154">
                    <c:v>-3, -3</c:v>
                  </c:pt>
                  <c:pt idx="155">
                    <c:v>-2, -3</c:v>
                  </c:pt>
                  <c:pt idx="156">
                    <c:v>-1, -3</c:v>
                  </c:pt>
                  <c:pt idx="157">
                    <c:v>0, -3</c:v>
                  </c:pt>
                  <c:pt idx="158">
                    <c:v>1, -3</c:v>
                  </c:pt>
                  <c:pt idx="159">
                    <c:v>2, -3</c:v>
                  </c:pt>
                  <c:pt idx="160">
                    <c:v>3, -3</c:v>
                  </c:pt>
                  <c:pt idx="161">
                    <c:v>4, -3</c:v>
                  </c:pt>
                  <c:pt idx="162">
                    <c:v>5, -3</c:v>
                  </c:pt>
                  <c:pt idx="163">
                    <c:v>6, -3</c:v>
                  </c:pt>
                  <c:pt idx="164">
                    <c:v>7, -3</c:v>
                  </c:pt>
                  <c:pt idx="165">
                    <c:v>8, -3</c:v>
                  </c:pt>
                  <c:pt idx="166">
                    <c:v>9, -3</c:v>
                  </c:pt>
                  <c:pt idx="167">
                    <c:v>10, -3</c:v>
                  </c:pt>
                  <c:pt idx="168">
                    <c:v>-10, -2</c:v>
                  </c:pt>
                  <c:pt idx="169">
                    <c:v>-9, -2</c:v>
                  </c:pt>
                  <c:pt idx="170">
                    <c:v>-8, -2</c:v>
                  </c:pt>
                  <c:pt idx="171">
                    <c:v>-7, -2</c:v>
                  </c:pt>
                  <c:pt idx="172">
                    <c:v>-6, -2</c:v>
                  </c:pt>
                  <c:pt idx="173">
                    <c:v>-5, -2</c:v>
                  </c:pt>
                  <c:pt idx="174">
                    <c:v>-4, -2</c:v>
                  </c:pt>
                  <c:pt idx="175">
                    <c:v>-3, -2</c:v>
                  </c:pt>
                  <c:pt idx="176">
                    <c:v>-2, -2</c:v>
                  </c:pt>
                  <c:pt idx="177">
                    <c:v>-1, -2</c:v>
                  </c:pt>
                  <c:pt idx="178">
                    <c:v>0, -2</c:v>
                  </c:pt>
                  <c:pt idx="179">
                    <c:v>1, -2</c:v>
                  </c:pt>
                  <c:pt idx="180">
                    <c:v>2, -2</c:v>
                  </c:pt>
                  <c:pt idx="181">
                    <c:v>3, -2</c:v>
                  </c:pt>
                  <c:pt idx="182">
                    <c:v>4, -2</c:v>
                  </c:pt>
                  <c:pt idx="183">
                    <c:v>5, -2</c:v>
                  </c:pt>
                  <c:pt idx="184">
                    <c:v>6, -2</c:v>
                  </c:pt>
                  <c:pt idx="185">
                    <c:v>7, -2</c:v>
                  </c:pt>
                  <c:pt idx="186">
                    <c:v>8, -2</c:v>
                  </c:pt>
                  <c:pt idx="187">
                    <c:v>9, -2</c:v>
                  </c:pt>
                  <c:pt idx="188">
                    <c:v>10, -2</c:v>
                  </c:pt>
                  <c:pt idx="189">
                    <c:v>-10, -1</c:v>
                  </c:pt>
                  <c:pt idx="190">
                    <c:v>-9, -1</c:v>
                  </c:pt>
                  <c:pt idx="191">
                    <c:v>-8, -1</c:v>
                  </c:pt>
                  <c:pt idx="192">
                    <c:v>-7, -1</c:v>
                  </c:pt>
                  <c:pt idx="193">
                    <c:v>-6, -1</c:v>
                  </c:pt>
                  <c:pt idx="194">
                    <c:v>-5, -1</c:v>
                  </c:pt>
                  <c:pt idx="195">
                    <c:v>-4, -1</c:v>
                  </c:pt>
                  <c:pt idx="196">
                    <c:v>-3, -1</c:v>
                  </c:pt>
                  <c:pt idx="197">
                    <c:v>-2, -1</c:v>
                  </c:pt>
                  <c:pt idx="198">
                    <c:v>-1, -1</c:v>
                  </c:pt>
                  <c:pt idx="199">
                    <c:v>0, -1</c:v>
                  </c:pt>
                  <c:pt idx="200">
                    <c:v>1, -1</c:v>
                  </c:pt>
                  <c:pt idx="201">
                    <c:v>2, -1</c:v>
                  </c:pt>
                  <c:pt idx="202">
                    <c:v>3, -1</c:v>
                  </c:pt>
                  <c:pt idx="203">
                    <c:v>4, -1</c:v>
                  </c:pt>
                  <c:pt idx="204">
                    <c:v>5, -1</c:v>
                  </c:pt>
                  <c:pt idx="205">
                    <c:v>6, -1</c:v>
                  </c:pt>
                  <c:pt idx="206">
                    <c:v>7, -1</c:v>
                  </c:pt>
                  <c:pt idx="207">
                    <c:v>8, -1</c:v>
                  </c:pt>
                  <c:pt idx="208">
                    <c:v>9, -1</c:v>
                  </c:pt>
                  <c:pt idx="209">
                    <c:v>10, -1</c:v>
                  </c:pt>
                  <c:pt idx="210">
                    <c:v>-10, 0</c:v>
                  </c:pt>
                  <c:pt idx="211">
                    <c:v>-9, 0</c:v>
                  </c:pt>
                  <c:pt idx="212">
                    <c:v>-8, 0</c:v>
                  </c:pt>
                  <c:pt idx="213">
                    <c:v>-7, 0</c:v>
                  </c:pt>
                  <c:pt idx="214">
                    <c:v>-6, 0</c:v>
                  </c:pt>
                  <c:pt idx="215">
                    <c:v>-5, 0</c:v>
                  </c:pt>
                  <c:pt idx="216">
                    <c:v>-4, 0</c:v>
                  </c:pt>
                  <c:pt idx="217">
                    <c:v>-3, 0</c:v>
                  </c:pt>
                  <c:pt idx="218">
                    <c:v>-2, 0</c:v>
                  </c:pt>
                  <c:pt idx="219">
                    <c:v>-1, 0</c:v>
                  </c:pt>
                  <c:pt idx="220">
                    <c:v>0, 0</c:v>
                  </c:pt>
                  <c:pt idx="221">
                    <c:v>1, 0</c:v>
                  </c:pt>
                  <c:pt idx="222">
                    <c:v>2, 0</c:v>
                  </c:pt>
                  <c:pt idx="223">
                    <c:v>3, 0</c:v>
                  </c:pt>
                  <c:pt idx="224">
                    <c:v>4, 0</c:v>
                  </c:pt>
                  <c:pt idx="225">
                    <c:v>5, 0</c:v>
                  </c:pt>
                  <c:pt idx="226">
                    <c:v>6, 0</c:v>
                  </c:pt>
                  <c:pt idx="227">
                    <c:v>7, 0</c:v>
                  </c:pt>
                  <c:pt idx="228">
                    <c:v>8, 0</c:v>
                  </c:pt>
                  <c:pt idx="229">
                    <c:v>9, 0</c:v>
                  </c:pt>
                  <c:pt idx="230">
                    <c:v>10, 0</c:v>
                  </c:pt>
                  <c:pt idx="231">
                    <c:v>-10, 1</c:v>
                  </c:pt>
                  <c:pt idx="232">
                    <c:v>-9, 1</c:v>
                  </c:pt>
                  <c:pt idx="233">
                    <c:v>-8, 1</c:v>
                  </c:pt>
                  <c:pt idx="234">
                    <c:v>-7, 1</c:v>
                  </c:pt>
                  <c:pt idx="235">
                    <c:v>-6, 1</c:v>
                  </c:pt>
                  <c:pt idx="236">
                    <c:v>-5, 1</c:v>
                  </c:pt>
                  <c:pt idx="237">
                    <c:v>-4, 1</c:v>
                  </c:pt>
                  <c:pt idx="238">
                    <c:v>-3, 1</c:v>
                  </c:pt>
                  <c:pt idx="239">
                    <c:v>-2, 1</c:v>
                  </c:pt>
                  <c:pt idx="240">
                    <c:v>-1, 1</c:v>
                  </c:pt>
                  <c:pt idx="241">
                    <c:v>0, 1</c:v>
                  </c:pt>
                  <c:pt idx="242">
                    <c:v>1, 1</c:v>
                  </c:pt>
                  <c:pt idx="243">
                    <c:v>2, 1</c:v>
                  </c:pt>
                  <c:pt idx="244">
                    <c:v>3, 1</c:v>
                  </c:pt>
                  <c:pt idx="245">
                    <c:v>4, 1</c:v>
                  </c:pt>
                  <c:pt idx="246">
                    <c:v>5, 1</c:v>
                  </c:pt>
                  <c:pt idx="247">
                    <c:v>6, 1</c:v>
                  </c:pt>
                  <c:pt idx="248">
                    <c:v>7, 1</c:v>
                  </c:pt>
                  <c:pt idx="249">
                    <c:v>8, 1</c:v>
                  </c:pt>
                  <c:pt idx="250">
                    <c:v>9, 1</c:v>
                  </c:pt>
                  <c:pt idx="251">
                    <c:v>10, 1</c:v>
                  </c:pt>
                  <c:pt idx="252">
                    <c:v>-10, 2</c:v>
                  </c:pt>
                  <c:pt idx="253">
                    <c:v>-9, 2</c:v>
                  </c:pt>
                  <c:pt idx="254">
                    <c:v>-8, 2</c:v>
                  </c:pt>
                  <c:pt idx="255">
                    <c:v>-7, 2</c:v>
                  </c:pt>
                  <c:pt idx="256">
                    <c:v>-6, 2</c:v>
                  </c:pt>
                  <c:pt idx="257">
                    <c:v>-5, 2</c:v>
                  </c:pt>
                  <c:pt idx="258">
                    <c:v>-4, 2</c:v>
                  </c:pt>
                  <c:pt idx="259">
                    <c:v>-3, 2</c:v>
                  </c:pt>
                  <c:pt idx="260">
                    <c:v>-2, 2</c:v>
                  </c:pt>
                  <c:pt idx="261">
                    <c:v>-1, 2</c:v>
                  </c:pt>
                  <c:pt idx="262">
                    <c:v>0, 2</c:v>
                  </c:pt>
                  <c:pt idx="263">
                    <c:v>1, 2</c:v>
                  </c:pt>
                  <c:pt idx="264">
                    <c:v>2, 2</c:v>
                  </c:pt>
                  <c:pt idx="265">
                    <c:v>3, 2</c:v>
                  </c:pt>
                  <c:pt idx="266">
                    <c:v>4, 2</c:v>
                  </c:pt>
                  <c:pt idx="267">
                    <c:v>5, 2</c:v>
                  </c:pt>
                  <c:pt idx="268">
                    <c:v>6, 2</c:v>
                  </c:pt>
                  <c:pt idx="269">
                    <c:v>7, 2</c:v>
                  </c:pt>
                  <c:pt idx="270">
                    <c:v>8, 2</c:v>
                  </c:pt>
                  <c:pt idx="271">
                    <c:v>9, 2</c:v>
                  </c:pt>
                  <c:pt idx="272">
                    <c:v>10, 2</c:v>
                  </c:pt>
                  <c:pt idx="273">
                    <c:v>-10, 3</c:v>
                  </c:pt>
                  <c:pt idx="274">
                    <c:v>-9, 3</c:v>
                  </c:pt>
                  <c:pt idx="275">
                    <c:v>-8, 3</c:v>
                  </c:pt>
                  <c:pt idx="276">
                    <c:v>-7, 3</c:v>
                  </c:pt>
                  <c:pt idx="277">
                    <c:v>-6, 3</c:v>
                  </c:pt>
                  <c:pt idx="278">
                    <c:v>-5, 3</c:v>
                  </c:pt>
                  <c:pt idx="279">
                    <c:v>-4, 3</c:v>
                  </c:pt>
                  <c:pt idx="280">
                    <c:v>-3, 3</c:v>
                  </c:pt>
                  <c:pt idx="281">
                    <c:v>-2, 3</c:v>
                  </c:pt>
                  <c:pt idx="282">
                    <c:v>-1, 3</c:v>
                  </c:pt>
                  <c:pt idx="283">
                    <c:v>0, 3</c:v>
                  </c:pt>
                  <c:pt idx="284">
                    <c:v>1, 3</c:v>
                  </c:pt>
                  <c:pt idx="285">
                    <c:v>2, 3</c:v>
                  </c:pt>
                  <c:pt idx="286">
                    <c:v>3, 3</c:v>
                  </c:pt>
                  <c:pt idx="287">
                    <c:v>4, 3</c:v>
                  </c:pt>
                  <c:pt idx="288">
                    <c:v>5, 3</c:v>
                  </c:pt>
                  <c:pt idx="289">
                    <c:v>6, 3</c:v>
                  </c:pt>
                  <c:pt idx="290">
                    <c:v>7, 3</c:v>
                  </c:pt>
                  <c:pt idx="291">
                    <c:v>8, 3</c:v>
                  </c:pt>
                  <c:pt idx="292">
                    <c:v>9, 3</c:v>
                  </c:pt>
                  <c:pt idx="293">
                    <c:v>10, 3</c:v>
                  </c:pt>
                  <c:pt idx="294">
                    <c:v>-10, 4</c:v>
                  </c:pt>
                  <c:pt idx="295">
                    <c:v>-9, 4</c:v>
                  </c:pt>
                  <c:pt idx="296">
                    <c:v>-8, 4</c:v>
                  </c:pt>
                  <c:pt idx="297">
                    <c:v>-7, 4</c:v>
                  </c:pt>
                  <c:pt idx="298">
                    <c:v>-6, 4</c:v>
                  </c:pt>
                  <c:pt idx="299">
                    <c:v>-5, 4</c:v>
                  </c:pt>
                  <c:pt idx="300">
                    <c:v>-4, 4</c:v>
                  </c:pt>
                  <c:pt idx="301">
                    <c:v>-3, 4</c:v>
                  </c:pt>
                  <c:pt idx="302">
                    <c:v>-2, 4</c:v>
                  </c:pt>
                  <c:pt idx="303">
                    <c:v>-1, 4</c:v>
                  </c:pt>
                  <c:pt idx="304">
                    <c:v>0, 4</c:v>
                  </c:pt>
                  <c:pt idx="305">
                    <c:v>1, 4</c:v>
                  </c:pt>
                  <c:pt idx="306">
                    <c:v>2, 4</c:v>
                  </c:pt>
                  <c:pt idx="307">
                    <c:v>3, 4</c:v>
                  </c:pt>
                  <c:pt idx="308">
                    <c:v>4, 4</c:v>
                  </c:pt>
                  <c:pt idx="309">
                    <c:v>5, 4</c:v>
                  </c:pt>
                  <c:pt idx="310">
                    <c:v>6, 4</c:v>
                  </c:pt>
                  <c:pt idx="311">
                    <c:v>7, 4</c:v>
                  </c:pt>
                  <c:pt idx="312">
                    <c:v>8, 4</c:v>
                  </c:pt>
                  <c:pt idx="313">
                    <c:v>9, 4</c:v>
                  </c:pt>
                  <c:pt idx="314">
                    <c:v>10, 4</c:v>
                  </c:pt>
                  <c:pt idx="315">
                    <c:v>-10, 5</c:v>
                  </c:pt>
                  <c:pt idx="316">
                    <c:v>-9, 5</c:v>
                  </c:pt>
                  <c:pt idx="317">
                    <c:v>-8, 5</c:v>
                  </c:pt>
                  <c:pt idx="318">
                    <c:v>-7, 5</c:v>
                  </c:pt>
                  <c:pt idx="319">
                    <c:v>-6, 5</c:v>
                  </c:pt>
                  <c:pt idx="320">
                    <c:v>-5, 5</c:v>
                  </c:pt>
                  <c:pt idx="321">
                    <c:v>-4, 5</c:v>
                  </c:pt>
                  <c:pt idx="322">
                    <c:v>-3, 5</c:v>
                  </c:pt>
                  <c:pt idx="323">
                    <c:v>-2, 5</c:v>
                  </c:pt>
                  <c:pt idx="324">
                    <c:v>-1, 5</c:v>
                  </c:pt>
                  <c:pt idx="325">
                    <c:v>0, 5</c:v>
                  </c:pt>
                  <c:pt idx="326">
                    <c:v>1, 5</c:v>
                  </c:pt>
                  <c:pt idx="327">
                    <c:v>2, 5</c:v>
                  </c:pt>
                  <c:pt idx="328">
                    <c:v>3, 5</c:v>
                  </c:pt>
                  <c:pt idx="329">
                    <c:v>4, 5</c:v>
                  </c:pt>
                  <c:pt idx="330">
                    <c:v>5, 5</c:v>
                  </c:pt>
                  <c:pt idx="331">
                    <c:v>6, 5</c:v>
                  </c:pt>
                  <c:pt idx="332">
                    <c:v>7, 5</c:v>
                  </c:pt>
                  <c:pt idx="333">
                    <c:v>8, 5</c:v>
                  </c:pt>
                  <c:pt idx="334">
                    <c:v>9, 5</c:v>
                  </c:pt>
                  <c:pt idx="335">
                    <c:v>10, 5</c:v>
                  </c:pt>
                  <c:pt idx="336">
                    <c:v>-10, 6</c:v>
                  </c:pt>
                  <c:pt idx="337">
                    <c:v>-9, 6</c:v>
                  </c:pt>
                  <c:pt idx="338">
                    <c:v>-8, 6</c:v>
                  </c:pt>
                  <c:pt idx="339">
                    <c:v>-7, 6</c:v>
                  </c:pt>
                  <c:pt idx="340">
                    <c:v>-6, 6</c:v>
                  </c:pt>
                  <c:pt idx="341">
                    <c:v>-5, 6</c:v>
                  </c:pt>
                  <c:pt idx="342">
                    <c:v>-4, 6</c:v>
                  </c:pt>
                  <c:pt idx="343">
                    <c:v>-3, 6</c:v>
                  </c:pt>
                  <c:pt idx="344">
                    <c:v>-2, 6</c:v>
                  </c:pt>
                  <c:pt idx="345">
                    <c:v>-1, 6</c:v>
                  </c:pt>
                  <c:pt idx="346">
                    <c:v>0, 6</c:v>
                  </c:pt>
                  <c:pt idx="347">
                    <c:v>1, 6</c:v>
                  </c:pt>
                  <c:pt idx="348">
                    <c:v>2, 6</c:v>
                  </c:pt>
                  <c:pt idx="349">
                    <c:v>3, 6</c:v>
                  </c:pt>
                  <c:pt idx="350">
                    <c:v>4, 6</c:v>
                  </c:pt>
                  <c:pt idx="351">
                    <c:v>5, 6</c:v>
                  </c:pt>
                  <c:pt idx="352">
                    <c:v>6, 6</c:v>
                  </c:pt>
                  <c:pt idx="353">
                    <c:v>7, 6</c:v>
                  </c:pt>
                  <c:pt idx="354">
                    <c:v>8, 6</c:v>
                  </c:pt>
                  <c:pt idx="355">
                    <c:v>9, 6</c:v>
                  </c:pt>
                  <c:pt idx="356">
                    <c:v>10, 6</c:v>
                  </c:pt>
                  <c:pt idx="357">
                    <c:v>-10, 7</c:v>
                  </c:pt>
                  <c:pt idx="358">
                    <c:v>-9, 7</c:v>
                  </c:pt>
                  <c:pt idx="359">
                    <c:v>-8, 7</c:v>
                  </c:pt>
                  <c:pt idx="360">
                    <c:v>-7, 7</c:v>
                  </c:pt>
                  <c:pt idx="361">
                    <c:v>-6, 7</c:v>
                  </c:pt>
                  <c:pt idx="362">
                    <c:v>-5, 7</c:v>
                  </c:pt>
                  <c:pt idx="363">
                    <c:v>-4, 7</c:v>
                  </c:pt>
                  <c:pt idx="364">
                    <c:v>-3, 7</c:v>
                  </c:pt>
                  <c:pt idx="365">
                    <c:v>-2, 7</c:v>
                  </c:pt>
                  <c:pt idx="366">
                    <c:v>-1, 7</c:v>
                  </c:pt>
                  <c:pt idx="367">
                    <c:v>0, 7</c:v>
                  </c:pt>
                  <c:pt idx="368">
                    <c:v>1, 7</c:v>
                  </c:pt>
                  <c:pt idx="369">
                    <c:v>2, 7</c:v>
                  </c:pt>
                  <c:pt idx="370">
                    <c:v>3, 7</c:v>
                  </c:pt>
                  <c:pt idx="371">
                    <c:v>4, 7</c:v>
                  </c:pt>
                  <c:pt idx="372">
                    <c:v>5, 7</c:v>
                  </c:pt>
                  <c:pt idx="373">
                    <c:v>6, 7</c:v>
                  </c:pt>
                  <c:pt idx="374">
                    <c:v>7, 7</c:v>
                  </c:pt>
                  <c:pt idx="375">
                    <c:v>8, 7</c:v>
                  </c:pt>
                  <c:pt idx="376">
                    <c:v>9, 7</c:v>
                  </c:pt>
                  <c:pt idx="377">
                    <c:v>10, 7</c:v>
                  </c:pt>
                  <c:pt idx="378">
                    <c:v>-10, 8</c:v>
                  </c:pt>
                  <c:pt idx="379">
                    <c:v>-9, 8</c:v>
                  </c:pt>
                  <c:pt idx="380">
                    <c:v>-8, 8</c:v>
                  </c:pt>
                  <c:pt idx="381">
                    <c:v>-7, 8</c:v>
                  </c:pt>
                  <c:pt idx="382">
                    <c:v>-6, 8</c:v>
                  </c:pt>
                  <c:pt idx="383">
                    <c:v>-5, 8</c:v>
                  </c:pt>
                  <c:pt idx="384">
                    <c:v>-4, 8</c:v>
                  </c:pt>
                  <c:pt idx="385">
                    <c:v>-3, 8</c:v>
                  </c:pt>
                  <c:pt idx="386">
                    <c:v>-2, 8</c:v>
                  </c:pt>
                  <c:pt idx="387">
                    <c:v>-1, 8</c:v>
                  </c:pt>
                  <c:pt idx="388">
                    <c:v>0, 8</c:v>
                  </c:pt>
                  <c:pt idx="389">
                    <c:v>1, 8</c:v>
                  </c:pt>
                  <c:pt idx="390">
                    <c:v>2, 8</c:v>
                  </c:pt>
                  <c:pt idx="391">
                    <c:v>3, 8</c:v>
                  </c:pt>
                  <c:pt idx="392">
                    <c:v>4, 8</c:v>
                  </c:pt>
                  <c:pt idx="393">
                    <c:v>5, 8</c:v>
                  </c:pt>
                  <c:pt idx="394">
                    <c:v>6, 8</c:v>
                  </c:pt>
                  <c:pt idx="395">
                    <c:v>7, 8</c:v>
                  </c:pt>
                  <c:pt idx="396">
                    <c:v>8, 8</c:v>
                  </c:pt>
                  <c:pt idx="397">
                    <c:v>9, 8</c:v>
                  </c:pt>
                  <c:pt idx="398">
                    <c:v>10, 8</c:v>
                  </c:pt>
                  <c:pt idx="399">
                    <c:v>-10, 9</c:v>
                  </c:pt>
                  <c:pt idx="400">
                    <c:v>-9, 9</c:v>
                  </c:pt>
                  <c:pt idx="401">
                    <c:v>-8, 9</c:v>
                  </c:pt>
                  <c:pt idx="402">
                    <c:v>-7, 9</c:v>
                  </c:pt>
                  <c:pt idx="403">
                    <c:v>-6, 9</c:v>
                  </c:pt>
                  <c:pt idx="404">
                    <c:v>-5, 9</c:v>
                  </c:pt>
                  <c:pt idx="405">
                    <c:v>-4, 9</c:v>
                  </c:pt>
                  <c:pt idx="406">
                    <c:v>-3, 9</c:v>
                  </c:pt>
                  <c:pt idx="407">
                    <c:v>-2, 9</c:v>
                  </c:pt>
                  <c:pt idx="408">
                    <c:v>-1, 9</c:v>
                  </c:pt>
                  <c:pt idx="409">
                    <c:v>0, 9</c:v>
                  </c:pt>
                  <c:pt idx="410">
                    <c:v>1, 9</c:v>
                  </c:pt>
                  <c:pt idx="411">
                    <c:v>2, 9</c:v>
                  </c:pt>
                  <c:pt idx="412">
                    <c:v>3, 9</c:v>
                  </c:pt>
                  <c:pt idx="413">
                    <c:v>4, 9</c:v>
                  </c:pt>
                  <c:pt idx="414">
                    <c:v>5, 9</c:v>
                  </c:pt>
                  <c:pt idx="415">
                    <c:v>6, 9</c:v>
                  </c:pt>
                  <c:pt idx="416">
                    <c:v>7, 9</c:v>
                  </c:pt>
                  <c:pt idx="417">
                    <c:v>8, 9</c:v>
                  </c:pt>
                  <c:pt idx="418">
                    <c:v>9, 9</c:v>
                  </c:pt>
                  <c:pt idx="419">
                    <c:v>10, 9</c:v>
                  </c:pt>
                  <c:pt idx="420">
                    <c:v>-10, 10</c:v>
                  </c:pt>
                  <c:pt idx="421">
                    <c:v>-9, 10</c:v>
                  </c:pt>
                  <c:pt idx="422">
                    <c:v>-8, 10</c:v>
                  </c:pt>
                  <c:pt idx="423">
                    <c:v>-7, 10</c:v>
                  </c:pt>
                  <c:pt idx="424">
                    <c:v>-6, 10</c:v>
                  </c:pt>
                  <c:pt idx="425">
                    <c:v>-5, 10</c:v>
                  </c:pt>
                  <c:pt idx="426">
                    <c:v>-4, 10</c:v>
                  </c:pt>
                  <c:pt idx="427">
                    <c:v>-3, 10</c:v>
                  </c:pt>
                  <c:pt idx="428">
                    <c:v>-2, 10</c:v>
                  </c:pt>
                  <c:pt idx="429">
                    <c:v>-1, 10</c:v>
                  </c:pt>
                  <c:pt idx="430">
                    <c:v>0, 10</c:v>
                  </c:pt>
                  <c:pt idx="431">
                    <c:v>1, 10</c:v>
                  </c:pt>
                  <c:pt idx="432">
                    <c:v>2, 10</c:v>
                  </c:pt>
                  <c:pt idx="433">
                    <c:v>3, 10</c:v>
                  </c:pt>
                  <c:pt idx="434">
                    <c:v>4, 10</c:v>
                  </c:pt>
                  <c:pt idx="435">
                    <c:v>5, 10</c:v>
                  </c:pt>
                  <c:pt idx="436">
                    <c:v>6, 10</c:v>
                  </c:pt>
                  <c:pt idx="437">
                    <c:v>7, 10</c:v>
                  </c:pt>
                  <c:pt idx="438">
                    <c:v>8, 10</c:v>
                  </c:pt>
                  <c:pt idx="439">
                    <c:v>9, 10</c:v>
                  </c:pt>
                  <c:pt idx="440">
                    <c:v>10, 10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B9-46AC-45AC-997E-865ED8066A93}"/>
            </c:ext>
          </c:extLst>
        </c:ser>
        <c:ser>
          <c:idx val="1"/>
          <c:order val="1"/>
          <c:tx>
            <c:strRef>
              <c:f>Paths!$C$1</c:f>
              <c:strCache>
                <c:ptCount val="1"/>
                <c:pt idx="0">
                  <c:v>Paths</c:v>
                </c:pt>
              </c:strCache>
            </c:strRef>
          </c:tx>
          <c:spPr>
            <a:ln w="22225">
              <a:solidFill>
                <a:srgbClr val="00B0F0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Paths!$A$2:$A$400</c:f>
              <c:numCache>
                <c:formatCode>General</c:formatCode>
                <c:ptCount val="399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0</c:v>
                </c:pt>
                <c:pt idx="10">
                  <c:v>0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8">
                  <c:v>1</c:v>
                </c:pt>
                <c:pt idx="19">
                  <c:v>1</c:v>
                </c:pt>
                <c:pt idx="21">
                  <c:v>1</c:v>
                </c:pt>
                <c:pt idx="22">
                  <c:v>1</c:v>
                </c:pt>
                <c:pt idx="24">
                  <c:v>1</c:v>
                </c:pt>
                <c:pt idx="25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0</c:v>
                </c:pt>
                <c:pt idx="31">
                  <c:v>0</c:v>
                </c:pt>
                <c:pt idx="33">
                  <c:v>2</c:v>
                </c:pt>
                <c:pt idx="34">
                  <c:v>2</c:v>
                </c:pt>
                <c:pt idx="36">
                  <c:v>2</c:v>
                </c:pt>
                <c:pt idx="37">
                  <c:v>2</c:v>
                </c:pt>
                <c:pt idx="39">
                  <c:v>2</c:v>
                </c:pt>
                <c:pt idx="40">
                  <c:v>2</c:v>
                </c:pt>
                <c:pt idx="42">
                  <c:v>2</c:v>
                </c:pt>
                <c:pt idx="43">
                  <c:v>2</c:v>
                </c:pt>
                <c:pt idx="45">
                  <c:v>2</c:v>
                </c:pt>
                <c:pt idx="46">
                  <c:v>2</c:v>
                </c:pt>
                <c:pt idx="48">
                  <c:v>2</c:v>
                </c:pt>
                <c:pt idx="49">
                  <c:v>2</c:v>
                </c:pt>
                <c:pt idx="51">
                  <c:v>0</c:v>
                </c:pt>
                <c:pt idx="52">
                  <c:v>0</c:v>
                </c:pt>
                <c:pt idx="54">
                  <c:v>3</c:v>
                </c:pt>
                <c:pt idx="55">
                  <c:v>3</c:v>
                </c:pt>
                <c:pt idx="57">
                  <c:v>3</c:v>
                </c:pt>
                <c:pt idx="58">
                  <c:v>3</c:v>
                </c:pt>
                <c:pt idx="60">
                  <c:v>3</c:v>
                </c:pt>
                <c:pt idx="61">
                  <c:v>3</c:v>
                </c:pt>
                <c:pt idx="63">
                  <c:v>3</c:v>
                </c:pt>
                <c:pt idx="64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0">
                  <c:v>3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10</c:v>
                </c:pt>
                <c:pt idx="81">
                  <c:v>10</c:v>
                </c:pt>
                <c:pt idx="82">
                  <c:v>10</c:v>
                </c:pt>
                <c:pt idx="84">
                  <c:v>10</c:v>
                </c:pt>
                <c:pt idx="85">
                  <c:v>-10</c:v>
                </c:pt>
                <c:pt idx="87">
                  <c:v>-10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3</c:v>
                </c:pt>
                <c:pt idx="122">
                  <c:v>3</c:v>
                </c:pt>
                <c:pt idx="123">
                  <c:v>1</c:v>
                </c:pt>
                <c:pt idx="124">
                  <c:v>1</c:v>
                </c:pt>
                <c:pt idx="127">
                  <c:v>3</c:v>
                </c:pt>
                <c:pt idx="128">
                  <c:v>3</c:v>
                </c:pt>
                <c:pt idx="129">
                  <c:v>1</c:v>
                </c:pt>
                <c:pt idx="130">
                  <c:v>1</c:v>
                </c:pt>
              </c:numCache>
            </c:numRef>
          </c:xVal>
          <c:yVal>
            <c:numRef>
              <c:f>Paths!$B$2:$B$400</c:f>
              <c:numCache>
                <c:formatCode>General</c:formatCode>
                <c:ptCount val="399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1</c:v>
                </c:pt>
                <c:pt idx="15">
                  <c:v>1</c:v>
                </c:pt>
                <c:pt idx="16">
                  <c:v>2</c:v>
                </c:pt>
                <c:pt idx="18">
                  <c:v>2</c:v>
                </c:pt>
                <c:pt idx="19">
                  <c:v>3</c:v>
                </c:pt>
                <c:pt idx="21">
                  <c:v>3</c:v>
                </c:pt>
                <c:pt idx="22">
                  <c:v>4</c:v>
                </c:pt>
                <c:pt idx="24">
                  <c:v>4</c:v>
                </c:pt>
                <c:pt idx="25">
                  <c:v>5</c:v>
                </c:pt>
                <c:pt idx="27">
                  <c:v>5</c:v>
                </c:pt>
                <c:pt idx="28">
                  <c:v>6</c:v>
                </c:pt>
                <c:pt idx="30">
                  <c:v>0</c:v>
                </c:pt>
                <c:pt idx="31">
                  <c:v>0</c:v>
                </c:pt>
                <c:pt idx="33">
                  <c:v>0</c:v>
                </c:pt>
                <c:pt idx="34">
                  <c:v>-1</c:v>
                </c:pt>
                <c:pt idx="36">
                  <c:v>-1</c:v>
                </c:pt>
                <c:pt idx="37">
                  <c:v>-2</c:v>
                </c:pt>
                <c:pt idx="39">
                  <c:v>-2</c:v>
                </c:pt>
                <c:pt idx="40">
                  <c:v>-3</c:v>
                </c:pt>
                <c:pt idx="42">
                  <c:v>-3</c:v>
                </c:pt>
                <c:pt idx="43">
                  <c:v>-4</c:v>
                </c:pt>
                <c:pt idx="45">
                  <c:v>-4</c:v>
                </c:pt>
                <c:pt idx="46">
                  <c:v>-5</c:v>
                </c:pt>
                <c:pt idx="48">
                  <c:v>-5</c:v>
                </c:pt>
                <c:pt idx="49">
                  <c:v>-6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1</c:v>
                </c:pt>
                <c:pt idx="57">
                  <c:v>1</c:v>
                </c:pt>
                <c:pt idx="58">
                  <c:v>2</c:v>
                </c:pt>
                <c:pt idx="60">
                  <c:v>2</c:v>
                </c:pt>
                <c:pt idx="61">
                  <c:v>3</c:v>
                </c:pt>
                <c:pt idx="63">
                  <c:v>3</c:v>
                </c:pt>
                <c:pt idx="64">
                  <c:v>4</c:v>
                </c:pt>
                <c:pt idx="66">
                  <c:v>4</c:v>
                </c:pt>
                <c:pt idx="67">
                  <c:v>5</c:v>
                </c:pt>
                <c:pt idx="69">
                  <c:v>5</c:v>
                </c:pt>
                <c:pt idx="70">
                  <c:v>6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-10</c:v>
                </c:pt>
                <c:pt idx="81">
                  <c:v>-10</c:v>
                </c:pt>
                <c:pt idx="82">
                  <c:v>10</c:v>
                </c:pt>
                <c:pt idx="84">
                  <c:v>10</c:v>
                </c:pt>
                <c:pt idx="85">
                  <c:v>10</c:v>
                </c:pt>
                <c:pt idx="87">
                  <c:v>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6</c:v>
                </c:pt>
                <c:pt idx="122">
                  <c:v>7</c:v>
                </c:pt>
                <c:pt idx="123">
                  <c:v>7</c:v>
                </c:pt>
                <c:pt idx="124">
                  <c:v>6</c:v>
                </c:pt>
                <c:pt idx="127">
                  <c:v>6</c:v>
                </c:pt>
                <c:pt idx="128">
                  <c:v>7</c:v>
                </c:pt>
                <c:pt idx="129">
                  <c:v>7</c:v>
                </c:pt>
                <c:pt idx="13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A-46AC-45AC-997E-865ED8066A93}"/>
            </c:ext>
          </c:extLst>
        </c:ser>
        <c:ser>
          <c:idx val="0"/>
          <c:order val="2"/>
          <c:tx>
            <c:strRef>
              <c:f>Spots!$C$1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gradFill>
                <a:gsLst>
                  <a:gs pos="0">
                    <a:srgbClr val="E5FFFF"/>
                  </a:gs>
                  <a:gs pos="100000">
                    <a:srgbClr val="21C5FF"/>
                  </a:gs>
                </a:gsLst>
                <a:lin ang="5400000" scaled="1"/>
              </a:gradFill>
              <a:ln w="3175">
                <a:solidFill>
                  <a:srgbClr val="21C5FF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1BB-46AC-45AC-997E-865ED8066A93}"/>
              </c:ext>
            </c:extLst>
          </c:dPt>
          <c:dLbls>
            <c:dLbl>
              <c:idx val="0"/>
              <c:layout>
                <c:manualLayout>
                  <c:x val="-4.1369260716376088E-2"/>
                  <c:y val="-2.2029921391318923E-2"/>
                </c:manualLayout>
              </c:layout>
              <c:tx>
                <c:rich>
                  <a:bodyPr rot="0" vertOverflow="overflow" horzOverflow="overflow" vert="horz" wrap="square" lIns="36000" tIns="36000" rIns="36000" bIns="36000" anchor="ctr" anchorCtr="0">
                    <a:noAutofit/>
                  </a:bodyPr>
                  <a:lstStyle/>
                  <a:p>
                    <a:pPr>
                      <a:defRPr sz="700">
                        <a:solidFill>
                          <a:sysClr val="windowText" lastClr="000000"/>
                        </a:solidFill>
                      </a:defRPr>
                    </a:pPr>
                    <a:fld id="{476BCF3F-6E50-484F-AED7-E2F4666379AC}" type="CELLRANGE">
                      <a:rPr lang="en-US"/>
                      <a:pPr>
                        <a:defRPr sz="700">
                          <a:solidFill>
                            <a:sysClr val="windowText" lastClr="000000"/>
                          </a:solidFill>
                        </a:defRPr>
                      </a:pPr>
                      <a:t>[CELLRANGE]</a:t>
                    </a:fld>
                    <a:endParaRPr lang="en-IN"/>
                  </a:p>
                </c:rich>
              </c:tx>
              <c:spPr>
                <a:gradFill>
                  <a:gsLst>
                    <a:gs pos="0">
                      <a:srgbClr val="4F81BD">
                        <a:lumMod val="5000"/>
                        <a:lumOff val="95000"/>
                        <a:alpha val="30000"/>
                      </a:srgbClr>
                    </a:gs>
                    <a:gs pos="97000">
                      <a:srgbClr val="00B0F0"/>
                    </a:gs>
                    <a:gs pos="50000">
                      <a:srgbClr val="ECF1F8"/>
                    </a:gs>
                  </a:gsLst>
                  <a:lin ang="5400000" scaled="1"/>
                </a:gradFill>
                <a:ln w="6350">
                  <a:solidFill>
                    <a:srgbClr val="00B0F0"/>
                  </a:solidFill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oundRectCallout">
                      <a:avLst/>
                    </a:prstGeom>
                  </c15:spPr>
                  <c15:layout>
                    <c:manualLayout>
                      <c:w val="3.496047280320267E-2"/>
                      <c:h val="2.0622648447835654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B-46AC-45AC-997E-865ED8066A93}"/>
                </c:ext>
              </c:extLst>
            </c:dLbl>
            <c:dLbl>
              <c:idx val="1"/>
              <c:layout>
                <c:manualLayout>
                  <c:x val="-4.0498287057951304E-2"/>
                  <c:y val="-2.1214557470474217E-2"/>
                </c:manualLayout>
              </c:layout>
              <c:tx>
                <c:rich>
                  <a:bodyPr/>
                  <a:lstStyle/>
                  <a:p>
                    <a:fld id="{78D3B1B4-72D1-4CE5-83D4-54AB3608A7F7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C-46AC-45AC-997E-865ED8066A93}"/>
                </c:ext>
              </c:extLst>
            </c:dLbl>
            <c:dLbl>
              <c:idx val="2"/>
              <c:layout>
                <c:manualLayout>
                  <c:x val="-3.4403306580179066E-2"/>
                  <c:y val="-2.11276811635428E-2"/>
                </c:manualLayout>
              </c:layout>
              <c:tx>
                <c:rich>
                  <a:bodyPr/>
                  <a:lstStyle/>
                  <a:p>
                    <a:fld id="{F01898B9-649F-439F-A2AC-B0BC042081F1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D-46AC-45AC-997E-865ED8066A93}"/>
                </c:ext>
              </c:extLst>
            </c:dLbl>
            <c:dLbl>
              <c:idx val="3"/>
              <c:layout>
                <c:manualLayout>
                  <c:x val="-1.1812127831569211E-2"/>
                  <c:y val="-2.121630321186636E-2"/>
                </c:manualLayout>
              </c:layout>
              <c:tx>
                <c:rich>
                  <a:bodyPr/>
                  <a:lstStyle/>
                  <a:p>
                    <a:fld id="{87A1E47E-4E5C-4E3D-927E-6F43FF0AD238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E-46AC-45AC-997E-865ED8066A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46AC-45AC-997E-865ED8066A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BC1CAB-7CF8-4957-AF54-1D07B34F20C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46AC-45AC-997E-865ED8066A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488A22-47AC-4609-BA52-F82DB4689DD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46AC-45AC-997E-865ED8066A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F66EE28-F8E1-48D0-A733-41EE6BA659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46AC-45AC-997E-865ED8066A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4B58FF-BDE6-4AA6-A807-494D56C59D4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46AC-45AC-997E-865ED8066A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6A6857-956D-4CF1-A8B5-43E324E5B3E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46AC-45AC-997E-865ED8066A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D60DD0-E655-4198-8D93-594D5DA72F3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46AC-45AC-997E-865ED8066A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46AC-45AC-997E-865ED8066A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0361B2-9D33-4263-97AA-B50E183DEAA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46AC-45AC-997E-865ED8066A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41925D-7138-41F5-BC06-57D00AF04F9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46AC-45AC-997E-865ED8066A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483732-4153-49DD-9996-DA0CD38CFED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46AC-45AC-997E-865ED8066A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49BF9A-94B3-43FB-9A36-B845E86ED77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46AC-45AC-997E-865ED8066A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566A40D-180E-444C-B19E-079C104703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46AC-45AC-997E-865ED8066A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535E0C-8D59-49F3-8AE1-6C8D043D85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46AC-45AC-997E-865ED8066A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46AC-45AC-997E-865ED8066A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FA9D19-5684-4401-9ACD-AE0E1C7DC03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46AC-45AC-997E-865ED8066A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F925FB-79BF-460F-97A1-75E19FBC42C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46AC-45AC-997E-865ED8066A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4768D2-63CE-4F33-865F-3C61AD6F80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46AC-45AC-997E-865ED8066A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45E4503-11DB-4CBE-A32F-2FA6BE27854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46AC-45AC-997E-865ED8066A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F471C69-8AF2-424E-AD59-837E63F25A7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46AC-45AC-997E-865ED8066A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26E4EE3-CE0F-41EA-AFD5-CF3976F5BA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46AC-45AC-997E-865ED8066A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46AC-45AC-997E-865ED8066A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D9436CD-6DE0-4A4A-BC06-D63DA558B29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46AC-45AC-997E-865ED8066A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87FC24B-0F6D-45F2-A43C-0120633D1AA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46AC-45AC-997E-865ED8066A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46AC-45AC-997E-865ED8066A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44248B9-FF8B-47AF-B994-B94CDDDB587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46AC-45AC-997E-865ED8066A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33D42D3-C8A0-459D-9B23-1C7BF049B2E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46AC-45AC-997E-865ED8066A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8EE498-782E-4E3E-B08A-300D93B154B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46AC-45AC-997E-865ED8066A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7BD4E2-DBBB-455B-92A4-30A56A4C5C3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46AC-45AC-997E-865ED8066A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01A54C-65C1-4FC8-9118-008F3F523DC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46AC-45AC-997E-865ED8066A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46AC-45AC-997E-865ED8066A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46AC-45AC-997E-865ED8066A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46AC-45AC-997E-865ED8066A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46AC-45AC-997E-865ED8066A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46AC-45AC-997E-865ED8066A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46AC-45AC-997E-865ED8066A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46AC-45AC-997E-865ED8066A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46AC-45AC-997E-865ED8066A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46AC-45AC-997E-865ED8066A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46AC-45AC-997E-865ED8066A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46AC-45AC-997E-865ED8066A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46AC-45AC-997E-865ED8066A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46AC-45AC-997E-865ED8066A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46AC-45AC-997E-865ED8066A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46AC-45AC-997E-865ED8066A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46AC-45AC-997E-865ED8066A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46AC-45AC-997E-865ED8066A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46AC-45AC-997E-865ED8066A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46AC-45AC-997E-865ED8066A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46AC-45AC-997E-865ED8066A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46AC-45AC-997E-865ED8066A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46AC-45AC-997E-865ED8066A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46AC-45AC-997E-865ED8066A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46AC-45AC-997E-865ED8066A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46AC-45AC-997E-865ED8066A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46AC-45AC-997E-865ED8066A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46AC-45AC-997E-865ED8066A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46AC-45AC-997E-865ED8066A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46AC-45AC-997E-865ED8066A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46AC-45AC-997E-865ED8066A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46AC-45AC-997E-865ED8066A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46AC-45AC-997E-865ED8066A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46AC-45AC-997E-865ED8066A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46AC-45AC-997E-865ED8066A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46AC-45AC-997E-865ED8066A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46AC-45AC-997E-865ED8066A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46AC-45AC-997E-865ED8066A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46AC-45AC-997E-865ED8066A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46AC-45AC-997E-865ED8066A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46AC-45AC-997E-865ED8066A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46AC-45AC-997E-865ED8066A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46AC-45AC-997E-865ED8066A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46AC-45AC-997E-865ED8066A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46AC-45AC-997E-865ED8066A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46AC-45AC-997E-865ED8066A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46AC-45AC-997E-865ED8066A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46AC-45AC-997E-865ED8066A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46AC-45AC-997E-865ED8066A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46AC-45AC-997E-865ED8066A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46AC-45AC-997E-865ED8066A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46AC-45AC-997E-865ED8066A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46AC-45AC-997E-865ED8066A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46AC-45AC-997E-865ED8066A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46AC-45AC-997E-865ED8066A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46AC-45AC-997E-865ED8066A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46AC-45AC-997E-865ED8066A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46AC-45AC-997E-865ED8066A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46AC-45AC-997E-865ED8066A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46AC-45AC-997E-865ED8066A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46AC-45AC-997E-865ED8066A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46AC-45AC-997E-865ED8066A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46AC-45AC-997E-865ED8066A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46AC-45AC-997E-865ED8066A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46AC-45AC-997E-865ED8066A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46AC-45AC-997E-865ED8066A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46AC-45AC-997E-865ED8066A9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46AC-45AC-997E-865ED8066A9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46AC-45AC-997E-865ED8066A9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46AC-45AC-997E-865ED8066A9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46AC-45AC-997E-865ED8066A9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46AC-45AC-997E-865ED8066A9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46AC-45AC-997E-865ED8066A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46AC-45AC-997E-865ED8066A9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46AC-45AC-997E-865ED8066A9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46AC-45AC-997E-865ED8066A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46AC-45AC-997E-865ED8066A9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46AC-45AC-997E-865ED8066A9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46AC-45AC-997E-865ED8066A9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46AC-45AC-997E-865ED8066A9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46AC-45AC-997E-865ED8066A9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46AC-45AC-997E-865ED8066A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46AC-45AC-997E-865ED8066A9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46AC-45AC-997E-865ED8066A9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46AC-45AC-997E-865ED8066A9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46AC-45AC-997E-865ED8066A9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46AC-45AC-997E-865ED8066A9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46AC-45AC-997E-865ED8066A9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46AC-45AC-997E-865ED8066A9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46AC-45AC-997E-865ED8066A9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46AC-45AC-997E-865ED8066A9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46AC-45AC-997E-865ED8066A9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46AC-45AC-997E-865ED8066A9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46AC-45AC-997E-865ED8066A9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46AC-45AC-997E-865ED8066A9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46AC-45AC-997E-865ED8066A9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46AC-45AC-997E-865ED8066A9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46AC-45AC-997E-865ED8066A9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46AC-45AC-997E-865ED8066A9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46AC-45AC-997E-865ED8066A9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46AC-45AC-997E-865ED8066A9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46AC-45AC-997E-865ED8066A9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46AC-45AC-997E-865ED8066A9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46AC-45AC-997E-865ED8066A9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46AC-45AC-997E-865ED8066A9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46AC-45AC-997E-865ED8066A9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46AC-45AC-997E-865ED8066A9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46AC-45AC-997E-865ED8066A9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46AC-45AC-997E-865ED8066A9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46AC-45AC-997E-865ED8066A9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46AC-45AC-997E-865ED8066A9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46AC-45AC-997E-865ED8066A9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46AC-45AC-997E-865ED8066A9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46AC-45AC-997E-865ED8066A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46AC-45AC-997E-865ED8066A9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46AC-45AC-997E-865ED8066A9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46AC-45AC-997E-865ED8066A9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46AC-45AC-997E-865ED8066A9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46AC-45AC-997E-865ED8066A9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46AC-45AC-997E-865ED8066A9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46AC-45AC-997E-865ED8066A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46AC-45AC-997E-865ED8066A9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46AC-45AC-997E-865ED8066A9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46AC-45AC-997E-865ED8066A9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46AC-45AC-997E-865ED8066A9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46AC-45AC-997E-865ED8066A9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46AC-45AC-997E-865ED8066A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46AC-45AC-997E-865ED8066A9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46AC-45AC-997E-865ED8066A9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46AC-45AC-997E-865ED8066A9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46AC-45AC-997E-865ED8066A9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46AC-45AC-997E-865ED8066A9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46AC-45AC-997E-865ED8066A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46AC-45AC-997E-865ED8066A9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46AC-45AC-997E-865ED8066A9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46AC-45AC-997E-865ED8066A9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46AC-45AC-997E-865ED8066A9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46AC-45AC-997E-865ED8066A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46AC-45AC-997E-865ED8066A9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46AC-45AC-997E-865ED8066A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46AC-45AC-997E-865ED8066A9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46AC-45AC-997E-865ED8066A9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46AC-45AC-997E-865ED8066A9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46AC-45AC-997E-865ED8066A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46AC-45AC-997E-865ED8066A9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46AC-45AC-997E-865ED8066A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46AC-45AC-997E-865ED8066A9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46AC-45AC-997E-865ED8066A9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46AC-45AC-997E-865ED8066A9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46AC-45AC-997E-865ED8066A9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46AC-45AC-997E-865ED8066A9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46AC-45AC-997E-865ED8066A9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46AC-45AC-997E-865ED8066A9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46AC-45AC-997E-865ED8066A9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46AC-45AC-997E-865ED8066A9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46AC-45AC-997E-865ED8066A9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46AC-45AC-997E-865ED8066A9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46AC-45AC-997E-865ED8066A9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46AC-45AC-997E-865ED8066A9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46AC-45AC-997E-865ED8066A9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46AC-45AC-997E-865ED8066A9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46AC-45AC-997E-865ED8066A9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46AC-45AC-997E-865ED8066A9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46AC-45AC-997E-865ED8066A9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46AC-45AC-997E-865ED8066A9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46AC-45AC-997E-865ED8066A9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46AC-45AC-997E-865ED8066A9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46AC-45AC-997E-865ED8066A9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46AC-45AC-997E-865ED8066A9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46AC-45AC-997E-865ED8066A93}"/>
                </c:ext>
              </c:extLst>
            </c:dLbl>
            <c:spPr>
              <a:gradFill>
                <a:gsLst>
                  <a:gs pos="0">
                    <a:srgbClr val="4F81BD">
                      <a:lumMod val="5000"/>
                      <a:lumOff val="95000"/>
                      <a:alpha val="30000"/>
                    </a:srgbClr>
                  </a:gs>
                  <a:gs pos="97000">
                    <a:srgbClr val="00B0F0"/>
                  </a:gs>
                  <a:gs pos="50000">
                    <a:srgbClr val="ECF1F8"/>
                  </a:gs>
                </a:gsLst>
                <a:lin ang="5400000" scaled="1"/>
              </a:gradFill>
              <a:ln w="6350">
                <a:solidFill>
                  <a:srgbClr val="00B0F0"/>
                </a:solidFill>
              </a:ln>
              <a:effectLst/>
            </c:spPr>
            <c:txPr>
              <a:bodyPr rot="0" vertOverflow="overflow" horzOverflow="overflow" vert="horz" wrap="square" lIns="36000" tIns="36000" rIns="36000" bIns="36000" anchor="ctr" anchorCtr="0">
                <a:spAutoFit/>
              </a:bodyPr>
              <a:lstStyle/>
              <a:p>
                <a:pPr>
                  <a:defRPr sz="7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Spots!$B$3:$B$205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6">
                  <c:v>2</c:v>
                </c:pt>
                <c:pt idx="27">
                  <c:v>2</c:v>
                </c:pt>
                <c:pt idx="29">
                  <c:v>-10</c:v>
                </c:pt>
                <c:pt idx="30">
                  <c:v>10</c:v>
                </c:pt>
                <c:pt idx="31">
                  <c:v>10</c:v>
                </c:pt>
                <c:pt idx="32">
                  <c:v>-10</c:v>
                </c:pt>
                <c:pt idx="33">
                  <c:v>-9</c:v>
                </c:pt>
              </c:numCache>
            </c:numRef>
          </c:xVal>
          <c:yVal>
            <c:numRef>
              <c:f>Spots!$C$3:$C$205</c:f>
              <c:numCache>
                <c:formatCode>General</c:formatCode>
                <c:ptCount val="2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2">
                  <c:v>-1</c:v>
                </c:pt>
                <c:pt idx="13">
                  <c:v>-2</c:v>
                </c:pt>
                <c:pt idx="14">
                  <c:v>-3</c:v>
                </c:pt>
                <c:pt idx="15">
                  <c:v>-4</c:v>
                </c:pt>
                <c:pt idx="16">
                  <c:v>-5</c:v>
                </c:pt>
                <c:pt idx="17">
                  <c:v>-6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6">
                  <c:v>8</c:v>
                </c:pt>
                <c:pt idx="27">
                  <c:v>-8</c:v>
                </c:pt>
                <c:pt idx="29">
                  <c:v>-10</c:v>
                </c:pt>
                <c:pt idx="30">
                  <c:v>-10</c:v>
                </c:pt>
                <c:pt idx="31">
                  <c:v>10</c:v>
                </c:pt>
                <c:pt idx="32">
                  <c:v>10</c:v>
                </c:pt>
                <c:pt idx="33">
                  <c:v>-10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Spots!$A$3:$A$127</c15:f>
                <c15:dlblRangeCache>
                  <c:ptCount val="125"/>
                  <c:pt idx="0">
                    <c:v>Intro</c:v>
                  </c:pt>
                  <c:pt idx="1">
                    <c:v>Features</c:v>
                  </c:pt>
                  <c:pt idx="2">
                    <c:v>Applications</c:v>
                  </c:pt>
                  <c:pt idx="3">
                    <c:v>Benefits</c:v>
                  </c:pt>
                  <c:pt idx="5">
                    <c:v>Feature1</c:v>
                  </c:pt>
                  <c:pt idx="6">
                    <c:v>Feature2</c:v>
                  </c:pt>
                  <c:pt idx="7">
                    <c:v>Feature3</c:v>
                  </c:pt>
                  <c:pt idx="8">
                    <c:v>Feature4</c:v>
                  </c:pt>
                  <c:pt idx="9">
                    <c:v>Feature5</c:v>
                  </c:pt>
                  <c:pt idx="10">
                    <c:v>Feature6</c:v>
                  </c:pt>
                  <c:pt idx="12">
                    <c:v>Application1</c:v>
                  </c:pt>
                  <c:pt idx="13">
                    <c:v>Application2</c:v>
                  </c:pt>
                  <c:pt idx="14">
                    <c:v>Application3</c:v>
                  </c:pt>
                  <c:pt idx="15">
                    <c:v>Application4</c:v>
                  </c:pt>
                  <c:pt idx="16">
                    <c:v>Application5</c:v>
                  </c:pt>
                  <c:pt idx="17">
                    <c:v>Application6</c:v>
                  </c:pt>
                  <c:pt idx="19">
                    <c:v>Benefit1</c:v>
                  </c:pt>
                  <c:pt idx="20">
                    <c:v>Benefit2</c:v>
                  </c:pt>
                  <c:pt idx="21">
                    <c:v>Benefit3</c:v>
                  </c:pt>
                  <c:pt idx="22">
                    <c:v>Benefit4</c:v>
                  </c:pt>
                  <c:pt idx="23">
                    <c:v>Benefit5</c:v>
                  </c:pt>
                  <c:pt idx="24">
                    <c:v>Benefit6</c:v>
                  </c:pt>
                  <c:pt idx="26">
                    <c:v>Teleport1</c:v>
                  </c:pt>
                  <c:pt idx="27">
                    <c:v>Teleport2</c:v>
                  </c:pt>
                  <c:pt idx="29">
                    <c:v>Blank_1</c:v>
                  </c:pt>
                  <c:pt idx="30">
                    <c:v>Blank_2</c:v>
                  </c:pt>
                  <c:pt idx="31">
                    <c:v>Blank_3</c:v>
                  </c:pt>
                  <c:pt idx="32">
                    <c:v>Blank_4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281-46AC-45AC-997E-865ED8066A93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199414528"/>
        <c:axId val="199416448"/>
      </c:scatterChart>
      <c:valAx>
        <c:axId val="199414528"/>
        <c:scaling>
          <c:orientation val="minMax"/>
          <c:max val="10"/>
          <c:min val="-10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199416448"/>
        <c:crossesAt val="0"/>
        <c:crossBetween val="midCat"/>
        <c:majorUnit val="10"/>
      </c:valAx>
      <c:valAx>
        <c:axId val="199416448"/>
        <c:scaling>
          <c:orientation val="minMax"/>
          <c:max val="10"/>
          <c:min val="-10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199414528"/>
        <c:crosses val="autoZero"/>
        <c:crossBetween val="midCat"/>
        <c:majorUnit val="10"/>
      </c:valAx>
      <c:spPr>
        <a:noFill/>
        <a:ln w="25400">
          <a:solidFill>
            <a:srgbClr val="61D6FF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/>
              </a:rPr>
              <a:t>Map</a:t>
            </a:r>
            <a:endParaRPr lang="en-IN">
              <a:effectLst/>
            </a:endParaRPr>
          </a:p>
        </c:rich>
      </c:tx>
      <c:layout>
        <c:manualLayout>
          <c:xMode val="edge"/>
          <c:yMode val="edge"/>
          <c:x val="0.47040617626585424"/>
          <c:y val="1.831706283579756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0251572327044023E-2"/>
          <c:y val="5.6903988348981763E-2"/>
          <c:w val="0.90241280731846774"/>
          <c:h val="0.89848468587552532"/>
        </c:manualLayout>
      </c:layout>
      <c:scatterChart>
        <c:scatterStyle val="lineMarker"/>
        <c:varyColors val="0"/>
        <c:ser>
          <c:idx val="1"/>
          <c:order val="0"/>
          <c:tx>
            <c:strRef>
              <c:f>Paths!$C$1</c:f>
              <c:strCache>
                <c:ptCount val="1"/>
                <c:pt idx="0">
                  <c:v>Paths</c:v>
                </c:pt>
              </c:strCache>
            </c:strRef>
          </c:tx>
          <c:spPr>
            <a:ln w="22225">
              <a:solidFill>
                <a:srgbClr val="00B0F0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Paths!$A$2:$A$1000</c:f>
              <c:numCache>
                <c:formatCode>General</c:formatCode>
                <c:ptCount val="999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0</c:v>
                </c:pt>
                <c:pt idx="10">
                  <c:v>0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8">
                  <c:v>1</c:v>
                </c:pt>
                <c:pt idx="19">
                  <c:v>1</c:v>
                </c:pt>
                <c:pt idx="21">
                  <c:v>1</c:v>
                </c:pt>
                <c:pt idx="22">
                  <c:v>1</c:v>
                </c:pt>
                <c:pt idx="24">
                  <c:v>1</c:v>
                </c:pt>
                <c:pt idx="25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0</c:v>
                </c:pt>
                <c:pt idx="31">
                  <c:v>0</c:v>
                </c:pt>
                <c:pt idx="33">
                  <c:v>2</c:v>
                </c:pt>
                <c:pt idx="34">
                  <c:v>2</c:v>
                </c:pt>
                <c:pt idx="36">
                  <c:v>2</c:v>
                </c:pt>
                <c:pt idx="37">
                  <c:v>2</c:v>
                </c:pt>
                <c:pt idx="39">
                  <c:v>2</c:v>
                </c:pt>
                <c:pt idx="40">
                  <c:v>2</c:v>
                </c:pt>
                <c:pt idx="42">
                  <c:v>2</c:v>
                </c:pt>
                <c:pt idx="43">
                  <c:v>2</c:v>
                </c:pt>
                <c:pt idx="45">
                  <c:v>2</c:v>
                </c:pt>
                <c:pt idx="46">
                  <c:v>2</c:v>
                </c:pt>
                <c:pt idx="48">
                  <c:v>2</c:v>
                </c:pt>
                <c:pt idx="49">
                  <c:v>2</c:v>
                </c:pt>
                <c:pt idx="51">
                  <c:v>0</c:v>
                </c:pt>
                <c:pt idx="52">
                  <c:v>0</c:v>
                </c:pt>
                <c:pt idx="54">
                  <c:v>3</c:v>
                </c:pt>
                <c:pt idx="55">
                  <c:v>3</c:v>
                </c:pt>
                <c:pt idx="57">
                  <c:v>3</c:v>
                </c:pt>
                <c:pt idx="58">
                  <c:v>3</c:v>
                </c:pt>
                <c:pt idx="60">
                  <c:v>3</c:v>
                </c:pt>
                <c:pt idx="61">
                  <c:v>3</c:v>
                </c:pt>
                <c:pt idx="63">
                  <c:v>3</c:v>
                </c:pt>
                <c:pt idx="64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0">
                  <c:v>3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10</c:v>
                </c:pt>
                <c:pt idx="81">
                  <c:v>10</c:v>
                </c:pt>
                <c:pt idx="82">
                  <c:v>10</c:v>
                </c:pt>
                <c:pt idx="84">
                  <c:v>10</c:v>
                </c:pt>
                <c:pt idx="85">
                  <c:v>-10</c:v>
                </c:pt>
                <c:pt idx="87">
                  <c:v>-10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3</c:v>
                </c:pt>
                <c:pt idx="122">
                  <c:v>3</c:v>
                </c:pt>
                <c:pt idx="123">
                  <c:v>1</c:v>
                </c:pt>
                <c:pt idx="124">
                  <c:v>1</c:v>
                </c:pt>
                <c:pt idx="127">
                  <c:v>3</c:v>
                </c:pt>
                <c:pt idx="128">
                  <c:v>3</c:v>
                </c:pt>
                <c:pt idx="129">
                  <c:v>1</c:v>
                </c:pt>
                <c:pt idx="130">
                  <c:v>1</c:v>
                </c:pt>
              </c:numCache>
            </c:numRef>
          </c:xVal>
          <c:yVal>
            <c:numRef>
              <c:f>Paths!$B$2:$B$1000</c:f>
              <c:numCache>
                <c:formatCode>General</c:formatCode>
                <c:ptCount val="999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1</c:v>
                </c:pt>
                <c:pt idx="15">
                  <c:v>1</c:v>
                </c:pt>
                <c:pt idx="16">
                  <c:v>2</c:v>
                </c:pt>
                <c:pt idx="18">
                  <c:v>2</c:v>
                </c:pt>
                <c:pt idx="19">
                  <c:v>3</c:v>
                </c:pt>
                <c:pt idx="21">
                  <c:v>3</c:v>
                </c:pt>
                <c:pt idx="22">
                  <c:v>4</c:v>
                </c:pt>
                <c:pt idx="24">
                  <c:v>4</c:v>
                </c:pt>
                <c:pt idx="25">
                  <c:v>5</c:v>
                </c:pt>
                <c:pt idx="27">
                  <c:v>5</c:v>
                </c:pt>
                <c:pt idx="28">
                  <c:v>6</c:v>
                </c:pt>
                <c:pt idx="30">
                  <c:v>0</c:v>
                </c:pt>
                <c:pt idx="31">
                  <c:v>0</c:v>
                </c:pt>
                <c:pt idx="33">
                  <c:v>0</c:v>
                </c:pt>
                <c:pt idx="34">
                  <c:v>-1</c:v>
                </c:pt>
                <c:pt idx="36">
                  <c:v>-1</c:v>
                </c:pt>
                <c:pt idx="37">
                  <c:v>-2</c:v>
                </c:pt>
                <c:pt idx="39">
                  <c:v>-2</c:v>
                </c:pt>
                <c:pt idx="40">
                  <c:v>-3</c:v>
                </c:pt>
                <c:pt idx="42">
                  <c:v>-3</c:v>
                </c:pt>
                <c:pt idx="43">
                  <c:v>-4</c:v>
                </c:pt>
                <c:pt idx="45">
                  <c:v>-4</c:v>
                </c:pt>
                <c:pt idx="46">
                  <c:v>-5</c:v>
                </c:pt>
                <c:pt idx="48">
                  <c:v>-5</c:v>
                </c:pt>
                <c:pt idx="49">
                  <c:v>-6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1</c:v>
                </c:pt>
                <c:pt idx="57">
                  <c:v>1</c:v>
                </c:pt>
                <c:pt idx="58">
                  <c:v>2</c:v>
                </c:pt>
                <c:pt idx="60">
                  <c:v>2</c:v>
                </c:pt>
                <c:pt idx="61">
                  <c:v>3</c:v>
                </c:pt>
                <c:pt idx="63">
                  <c:v>3</c:v>
                </c:pt>
                <c:pt idx="64">
                  <c:v>4</c:v>
                </c:pt>
                <c:pt idx="66">
                  <c:v>4</c:v>
                </c:pt>
                <c:pt idx="67">
                  <c:v>5</c:v>
                </c:pt>
                <c:pt idx="69">
                  <c:v>5</c:v>
                </c:pt>
                <c:pt idx="70">
                  <c:v>6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-10</c:v>
                </c:pt>
                <c:pt idx="81">
                  <c:v>-10</c:v>
                </c:pt>
                <c:pt idx="82">
                  <c:v>10</c:v>
                </c:pt>
                <c:pt idx="84">
                  <c:v>10</c:v>
                </c:pt>
                <c:pt idx="85">
                  <c:v>10</c:v>
                </c:pt>
                <c:pt idx="87">
                  <c:v>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6</c:v>
                </c:pt>
                <c:pt idx="122">
                  <c:v>7</c:v>
                </c:pt>
                <c:pt idx="123">
                  <c:v>7</c:v>
                </c:pt>
                <c:pt idx="124">
                  <c:v>6</c:v>
                </c:pt>
                <c:pt idx="127">
                  <c:v>6</c:v>
                </c:pt>
                <c:pt idx="128">
                  <c:v>7</c:v>
                </c:pt>
                <c:pt idx="129">
                  <c:v>7</c:v>
                </c:pt>
                <c:pt idx="13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E8-4BA1-BC0E-27D73A9027E5}"/>
            </c:ext>
          </c:extLst>
        </c:ser>
        <c:ser>
          <c:idx val="0"/>
          <c:order val="1"/>
          <c:tx>
            <c:strRef>
              <c:f>Spots!$C$1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gradFill>
                <a:gsLst>
                  <a:gs pos="0">
                    <a:srgbClr val="4F81BD">
                      <a:lumMod val="5000"/>
                      <a:lumOff val="95000"/>
                    </a:srgbClr>
                  </a:gs>
                  <a:gs pos="100000">
                    <a:srgbClr val="21C5FF"/>
                  </a:gs>
                </a:gsLst>
                <a:lin ang="5400000" scaled="1"/>
              </a:gradFill>
              <a:ln w="3175">
                <a:solidFill>
                  <a:schemeClr val="accent1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E6E8-4BA1-BC0E-27D73A9027E5}"/>
              </c:ext>
            </c:extLst>
          </c:dPt>
          <c:dLbls>
            <c:dLbl>
              <c:idx val="0"/>
              <c:layout>
                <c:manualLayout>
                  <c:x val="-4.1369260716376088E-2"/>
                  <c:y val="-2.2029921391318923E-2"/>
                </c:manualLayout>
              </c:layout>
              <c:tx>
                <c:rich>
                  <a:bodyPr/>
                  <a:lstStyle/>
                  <a:p>
                    <a:fld id="{64595B86-CDE9-4D41-8A24-14CA5F1E5BCF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6E8-4BA1-BC0E-27D73A9027E5}"/>
                </c:ext>
              </c:extLst>
            </c:dLbl>
            <c:dLbl>
              <c:idx val="1"/>
              <c:layout>
                <c:manualLayout>
                  <c:x val="-4.0498287057951304E-2"/>
                  <c:y val="-2.1214557470474217E-2"/>
                </c:manualLayout>
              </c:layout>
              <c:tx>
                <c:rich>
                  <a:bodyPr/>
                  <a:lstStyle/>
                  <a:p>
                    <a:fld id="{BFB37929-C01A-4D71-A43B-FFA85350A8F9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6E8-4BA1-BC0E-27D73A9027E5}"/>
                </c:ext>
              </c:extLst>
            </c:dLbl>
            <c:dLbl>
              <c:idx val="2"/>
              <c:layout>
                <c:manualLayout>
                  <c:x val="-3.4403306580179066E-2"/>
                  <c:y val="-2.11276811635428E-2"/>
                </c:manualLayout>
              </c:layout>
              <c:tx>
                <c:rich>
                  <a:bodyPr/>
                  <a:lstStyle/>
                  <a:p>
                    <a:fld id="{91F6FB8E-58B1-46A6-964A-5C73F319B6BD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6E8-4BA1-BC0E-27D73A9027E5}"/>
                </c:ext>
              </c:extLst>
            </c:dLbl>
            <c:dLbl>
              <c:idx val="3"/>
              <c:layout>
                <c:manualLayout>
                  <c:x val="-1.1812127831569211E-2"/>
                  <c:y val="-2.121630321186636E-2"/>
                </c:manualLayout>
              </c:layout>
              <c:tx>
                <c:rich>
                  <a:bodyPr/>
                  <a:lstStyle/>
                  <a:p>
                    <a:fld id="{1262F160-1C37-4757-BD40-DD35B2CD0D57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6E8-4BA1-BC0E-27D73A9027E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E8-4BA1-BC0E-27D73A9027E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7E9E39-CD88-4108-848E-A71D221DFB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E8-4BA1-BC0E-27D73A9027E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580458-5F36-4BF9-92C8-02D12D3E788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E8-4BA1-BC0E-27D73A9027E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362C4C-EE83-4E12-BF6C-00524C7F5D4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E8-4BA1-BC0E-27D73A9027E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52B23CA-E81E-4BE0-8957-EC160A0AD22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E8-4BA1-BC0E-27D73A9027E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E542FD-F0D4-40AA-9B74-B4FC2353716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6E8-4BA1-BC0E-27D73A9027E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98EF6C-372D-4BA7-B5B9-33E29A15C45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6E8-4BA1-BC0E-27D73A9027E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6E8-4BA1-BC0E-27D73A9027E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02F942-8D42-4B25-A281-302BDB1563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6E8-4BA1-BC0E-27D73A9027E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7E54A60-D8B9-426F-A98B-3ABCF5F636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6E8-4BA1-BC0E-27D73A9027E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AA8F712-D200-4091-915E-0899A1A71B7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6E8-4BA1-BC0E-27D73A9027E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2E7B0A3-CD5A-47C3-9DF1-D71AFCECDEA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6E8-4BA1-BC0E-27D73A9027E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5E584F-0899-44D5-AA6D-2C86C48A674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6E8-4BA1-BC0E-27D73A9027E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C53EDC3-9296-42C9-AE3A-40AB55D9DED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6E8-4BA1-BC0E-27D73A9027E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6E8-4BA1-BC0E-27D73A9027E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4EB6E6-1A99-427C-AA0F-1079893B7F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6E8-4BA1-BC0E-27D73A9027E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ECBAA2-C147-4BA4-9523-7D3BC2FE538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6E8-4BA1-BC0E-27D73A9027E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087C76-2755-4C10-8744-4F125AF961D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6E8-4BA1-BC0E-27D73A9027E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26C2590-E077-4260-870C-0BBA00C5DAA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6E8-4BA1-BC0E-27D73A9027E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D341E8-F6F5-4882-9207-00FB50213F7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6E8-4BA1-BC0E-27D73A9027E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BF3480E-9BE9-40BA-93CD-D5915E34CBA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6E8-4BA1-BC0E-27D73A9027E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6E8-4BA1-BC0E-27D73A9027E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59D853-3DB0-456A-B337-76B91388DC3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6E8-4BA1-BC0E-27D73A9027E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2A4A119-D6C8-4783-A6C7-FA2659F203D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6E8-4BA1-BC0E-27D73A9027E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6E8-4BA1-BC0E-27D73A9027E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ED6D26-20A6-4146-B200-C3947902D1A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6E8-4BA1-BC0E-27D73A9027E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ED8B8E6-CC58-43AE-B87E-8280B2B7189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6E8-4BA1-BC0E-27D73A9027E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DF9F68D-9156-40AD-BDCE-16BC0BF32D8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6E8-4BA1-BC0E-27D73A9027E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7DB065-A1E1-40B0-9746-4D598314AB6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6E8-4BA1-BC0E-27D73A9027E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9E72B7F-9FDF-42A8-A18A-595DA59519B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E6E8-4BA1-BC0E-27D73A9027E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6E8-4BA1-BC0E-27D73A9027E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6E8-4BA1-BC0E-27D73A9027E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6E8-4BA1-BC0E-27D73A9027E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6E8-4BA1-BC0E-27D73A9027E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6E8-4BA1-BC0E-27D73A9027E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6E8-4BA1-BC0E-27D73A9027E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6E8-4BA1-BC0E-27D73A9027E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6E8-4BA1-BC0E-27D73A9027E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6E8-4BA1-BC0E-27D73A9027E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6E8-4BA1-BC0E-27D73A9027E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6E8-4BA1-BC0E-27D73A9027E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6E8-4BA1-BC0E-27D73A9027E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6E8-4BA1-BC0E-27D73A9027E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6E8-4BA1-BC0E-27D73A9027E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6E8-4BA1-BC0E-27D73A9027E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6E8-4BA1-BC0E-27D73A9027E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6E8-4BA1-BC0E-27D73A9027E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6E8-4BA1-BC0E-27D73A9027E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6E8-4BA1-BC0E-27D73A9027E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6E8-4BA1-BC0E-27D73A9027E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6E8-4BA1-BC0E-27D73A9027E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6E8-4BA1-BC0E-27D73A9027E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6E8-4BA1-BC0E-27D73A9027E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6E8-4BA1-BC0E-27D73A9027E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6E8-4BA1-BC0E-27D73A9027E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6E8-4BA1-BC0E-27D73A9027E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6E8-4BA1-BC0E-27D73A9027E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6E8-4BA1-BC0E-27D73A9027E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6E8-4BA1-BC0E-27D73A9027E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6E8-4BA1-BC0E-27D73A9027E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6E8-4BA1-BC0E-27D73A9027E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6E8-4BA1-BC0E-27D73A9027E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6E8-4BA1-BC0E-27D73A9027E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6E8-4BA1-BC0E-27D73A9027E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6E8-4BA1-BC0E-27D73A9027E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6E8-4BA1-BC0E-27D73A9027E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6E8-4BA1-BC0E-27D73A9027E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6E8-4BA1-BC0E-27D73A9027E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6E8-4BA1-BC0E-27D73A9027E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6E8-4BA1-BC0E-27D73A9027E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6E8-4BA1-BC0E-27D73A9027E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6E8-4BA1-BC0E-27D73A9027E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6E8-4BA1-BC0E-27D73A9027E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6E8-4BA1-BC0E-27D73A9027E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6E8-4BA1-BC0E-27D73A9027E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6E8-4BA1-BC0E-27D73A9027E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6E8-4BA1-BC0E-27D73A9027E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6E8-4BA1-BC0E-27D73A9027E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6E8-4BA1-BC0E-27D73A9027E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6E8-4BA1-BC0E-27D73A9027E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6E8-4BA1-BC0E-27D73A9027E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6E8-4BA1-BC0E-27D73A9027E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6E8-4BA1-BC0E-27D73A9027E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6E8-4BA1-BC0E-27D73A9027E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6E8-4BA1-BC0E-27D73A9027E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6E8-4BA1-BC0E-27D73A9027E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6E8-4BA1-BC0E-27D73A9027E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6E8-4BA1-BC0E-27D73A9027E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6E8-4BA1-BC0E-27D73A9027E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6E8-4BA1-BC0E-27D73A9027E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6E8-4BA1-BC0E-27D73A9027E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6E8-4BA1-BC0E-27D73A9027E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6E8-4BA1-BC0E-27D73A9027E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6E8-4BA1-BC0E-27D73A9027E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6E8-4BA1-BC0E-27D73A9027E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6E8-4BA1-BC0E-27D73A9027E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6E8-4BA1-BC0E-27D73A9027E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6E8-4BA1-BC0E-27D73A9027E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6E8-4BA1-BC0E-27D73A9027E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6E8-4BA1-BC0E-27D73A9027E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6E8-4BA1-BC0E-27D73A9027E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6E8-4BA1-BC0E-27D73A9027E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6E8-4BA1-BC0E-27D73A9027E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6E8-4BA1-BC0E-27D73A9027E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6E8-4BA1-BC0E-27D73A9027E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6E8-4BA1-BC0E-27D73A9027E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6E8-4BA1-BC0E-27D73A9027E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6E8-4BA1-BC0E-27D73A9027E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6E8-4BA1-BC0E-27D73A9027E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6E8-4BA1-BC0E-27D73A9027E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6E8-4BA1-BC0E-27D73A9027E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6E8-4BA1-BC0E-27D73A9027E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6E8-4BA1-BC0E-27D73A9027E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6E8-4BA1-BC0E-27D73A9027E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6E8-4BA1-BC0E-27D73A9027E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6E8-4BA1-BC0E-27D73A9027E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6E8-4BA1-BC0E-27D73A9027E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6E8-4BA1-BC0E-27D73A9027E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6E8-4BA1-BC0E-27D73A9027E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6E8-4BA1-BC0E-27D73A9027E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6E8-4BA1-BC0E-27D73A9027E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6E8-4BA1-BC0E-27D73A9027E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6E8-4BA1-BC0E-27D73A9027E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6E8-4BA1-BC0E-27D73A9027E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6E8-4BA1-BC0E-27D73A9027E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6E8-4BA1-BC0E-27D73A9027E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6E8-4BA1-BC0E-27D73A9027E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6E8-4BA1-BC0E-27D73A9027E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6E8-4BA1-BC0E-27D73A9027E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6E8-4BA1-BC0E-27D73A9027E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6E8-4BA1-BC0E-27D73A9027E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6E8-4BA1-BC0E-27D73A9027E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6E8-4BA1-BC0E-27D73A9027E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6E8-4BA1-BC0E-27D73A9027E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6E8-4BA1-BC0E-27D73A9027E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6E8-4BA1-BC0E-27D73A9027E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6E8-4BA1-BC0E-27D73A9027E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6E8-4BA1-BC0E-27D73A9027E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6E8-4BA1-BC0E-27D73A9027E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6E8-4BA1-BC0E-27D73A9027E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6E8-4BA1-BC0E-27D73A9027E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6E8-4BA1-BC0E-27D73A9027E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6E8-4BA1-BC0E-27D73A9027E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6E8-4BA1-BC0E-27D73A9027E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6E8-4BA1-BC0E-27D73A9027E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6E8-4BA1-BC0E-27D73A9027E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6E8-4BA1-BC0E-27D73A9027E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6E8-4BA1-BC0E-27D73A9027E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6E8-4BA1-BC0E-27D73A9027E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6E8-4BA1-BC0E-27D73A9027E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6E8-4BA1-BC0E-27D73A9027E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6E8-4BA1-BC0E-27D73A9027E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6E8-4BA1-BC0E-27D73A9027E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6E8-4BA1-BC0E-27D73A9027E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6E8-4BA1-BC0E-27D73A9027E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6E8-4BA1-BC0E-27D73A9027E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6E8-4BA1-BC0E-27D73A9027E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6E8-4BA1-BC0E-27D73A9027E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6E8-4BA1-BC0E-27D73A9027E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6E8-4BA1-BC0E-27D73A9027E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6E8-4BA1-BC0E-27D73A9027E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6E8-4BA1-BC0E-27D73A9027E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6E8-4BA1-BC0E-27D73A9027E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6E8-4BA1-BC0E-27D73A9027E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6E8-4BA1-BC0E-27D73A9027E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6E8-4BA1-BC0E-27D73A9027E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6E8-4BA1-BC0E-27D73A9027E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6E8-4BA1-BC0E-27D73A9027E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6E8-4BA1-BC0E-27D73A9027E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6E8-4BA1-BC0E-27D73A9027E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6E8-4BA1-BC0E-27D73A9027E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6E8-4BA1-BC0E-27D73A9027E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6E8-4BA1-BC0E-27D73A9027E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6E8-4BA1-BC0E-27D73A9027E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6E8-4BA1-BC0E-27D73A9027E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6E8-4BA1-BC0E-27D73A9027E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6E8-4BA1-BC0E-27D73A9027E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6E8-4BA1-BC0E-27D73A9027E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6E8-4BA1-BC0E-27D73A9027E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6E8-4BA1-BC0E-27D73A9027E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6E8-4BA1-BC0E-27D73A9027E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6E8-4BA1-BC0E-27D73A9027E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6E8-4BA1-BC0E-27D73A9027E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6E8-4BA1-BC0E-27D73A9027E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6E8-4BA1-BC0E-27D73A9027E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6E8-4BA1-BC0E-27D73A9027E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6E8-4BA1-BC0E-27D73A9027E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6E8-4BA1-BC0E-27D73A9027E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6E8-4BA1-BC0E-27D73A9027E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6E8-4BA1-BC0E-27D73A9027E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6E8-4BA1-BC0E-27D73A9027E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6E8-4BA1-BC0E-27D73A9027E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6E8-4BA1-BC0E-27D73A9027E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6E8-4BA1-BC0E-27D73A9027E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6E8-4BA1-BC0E-27D73A9027E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6E8-4BA1-BC0E-27D73A9027E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6E8-4BA1-BC0E-27D73A9027E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6E8-4BA1-BC0E-27D73A9027E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6E8-4BA1-BC0E-27D73A9027E5}"/>
                </c:ext>
              </c:extLst>
            </c:dLbl>
            <c:spPr>
              <a:gradFill>
                <a:gsLst>
                  <a:gs pos="0">
                    <a:srgbClr val="4F81BD">
                      <a:lumMod val="5000"/>
                      <a:lumOff val="95000"/>
                      <a:alpha val="30000"/>
                    </a:srgbClr>
                  </a:gs>
                  <a:gs pos="97000">
                    <a:srgbClr val="00B0F0"/>
                  </a:gs>
                  <a:gs pos="50000">
                    <a:srgbClr val="ECF1F8"/>
                  </a:gs>
                </a:gsLst>
                <a:lin ang="5400000" scaled="1"/>
              </a:gradFill>
              <a:ln w="6350">
                <a:solidFill>
                  <a:srgbClr val="00B0F0"/>
                </a:solidFill>
              </a:ln>
              <a:effectLst/>
            </c:spPr>
            <c:txPr>
              <a:bodyPr rot="0" vertOverflow="overflow" horzOverflow="overflow" vert="horz" wrap="none" lIns="36000" tIns="36000" rIns="36000" bIns="36000" anchor="ctr" anchorCtr="0">
                <a:spAutoFit/>
              </a:bodyPr>
              <a:lstStyle/>
              <a:p>
                <a:pPr>
                  <a:defRPr sz="7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Spots!$B$3:$B$205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6">
                  <c:v>2</c:v>
                </c:pt>
                <c:pt idx="27">
                  <c:v>2</c:v>
                </c:pt>
                <c:pt idx="29">
                  <c:v>-10</c:v>
                </c:pt>
                <c:pt idx="30">
                  <c:v>10</c:v>
                </c:pt>
                <c:pt idx="31">
                  <c:v>10</c:v>
                </c:pt>
                <c:pt idx="32">
                  <c:v>-10</c:v>
                </c:pt>
                <c:pt idx="33">
                  <c:v>-9</c:v>
                </c:pt>
              </c:numCache>
            </c:numRef>
          </c:xVal>
          <c:yVal>
            <c:numRef>
              <c:f>Spots!$C$3:$C$205</c:f>
              <c:numCache>
                <c:formatCode>General</c:formatCode>
                <c:ptCount val="2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2">
                  <c:v>-1</c:v>
                </c:pt>
                <c:pt idx="13">
                  <c:v>-2</c:v>
                </c:pt>
                <c:pt idx="14">
                  <c:v>-3</c:v>
                </c:pt>
                <c:pt idx="15">
                  <c:v>-4</c:v>
                </c:pt>
                <c:pt idx="16">
                  <c:v>-5</c:v>
                </c:pt>
                <c:pt idx="17">
                  <c:v>-6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6">
                  <c:v>8</c:v>
                </c:pt>
                <c:pt idx="27">
                  <c:v>-8</c:v>
                </c:pt>
                <c:pt idx="29">
                  <c:v>-10</c:v>
                </c:pt>
                <c:pt idx="30">
                  <c:v>-10</c:v>
                </c:pt>
                <c:pt idx="31">
                  <c:v>10</c:v>
                </c:pt>
                <c:pt idx="32">
                  <c:v>10</c:v>
                </c:pt>
                <c:pt idx="33">
                  <c:v>-10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Spots!$A$3:$A$127</c15:f>
                <c15:dlblRangeCache>
                  <c:ptCount val="125"/>
                  <c:pt idx="0">
                    <c:v>Intro</c:v>
                  </c:pt>
                  <c:pt idx="1">
                    <c:v>Features</c:v>
                  </c:pt>
                  <c:pt idx="2">
                    <c:v>Applications</c:v>
                  </c:pt>
                  <c:pt idx="3">
                    <c:v>Benefits</c:v>
                  </c:pt>
                  <c:pt idx="5">
                    <c:v>Feature1</c:v>
                  </c:pt>
                  <c:pt idx="6">
                    <c:v>Feature2</c:v>
                  </c:pt>
                  <c:pt idx="7">
                    <c:v>Feature3</c:v>
                  </c:pt>
                  <c:pt idx="8">
                    <c:v>Feature4</c:v>
                  </c:pt>
                  <c:pt idx="9">
                    <c:v>Feature5</c:v>
                  </c:pt>
                  <c:pt idx="10">
                    <c:v>Feature6</c:v>
                  </c:pt>
                  <c:pt idx="12">
                    <c:v>Application1</c:v>
                  </c:pt>
                  <c:pt idx="13">
                    <c:v>Application2</c:v>
                  </c:pt>
                  <c:pt idx="14">
                    <c:v>Application3</c:v>
                  </c:pt>
                  <c:pt idx="15">
                    <c:v>Application4</c:v>
                  </c:pt>
                  <c:pt idx="16">
                    <c:v>Application5</c:v>
                  </c:pt>
                  <c:pt idx="17">
                    <c:v>Application6</c:v>
                  </c:pt>
                  <c:pt idx="19">
                    <c:v>Benefit1</c:v>
                  </c:pt>
                  <c:pt idx="20">
                    <c:v>Benefit2</c:v>
                  </c:pt>
                  <c:pt idx="21">
                    <c:v>Benefit3</c:v>
                  </c:pt>
                  <c:pt idx="22">
                    <c:v>Benefit4</c:v>
                  </c:pt>
                  <c:pt idx="23">
                    <c:v>Benefit5</c:v>
                  </c:pt>
                  <c:pt idx="24">
                    <c:v>Benefit6</c:v>
                  </c:pt>
                  <c:pt idx="26">
                    <c:v>Teleport1</c:v>
                  </c:pt>
                  <c:pt idx="27">
                    <c:v>Teleport2</c:v>
                  </c:pt>
                  <c:pt idx="29">
                    <c:v>Blank_1</c:v>
                  </c:pt>
                  <c:pt idx="30">
                    <c:v>Blank_2</c:v>
                  </c:pt>
                  <c:pt idx="31">
                    <c:v>Blank_3</c:v>
                  </c:pt>
                  <c:pt idx="32">
                    <c:v>Blank_4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C7-E6E8-4BA1-BC0E-27D73A9027E5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199414528"/>
        <c:axId val="199416448"/>
      </c:scatterChart>
      <c:valAx>
        <c:axId val="199414528"/>
        <c:scaling>
          <c:orientation val="minMax"/>
          <c:max val="10"/>
          <c:min val="-1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X</a:t>
                </a:r>
              </a:p>
            </c:rich>
          </c:tx>
          <c:layout>
            <c:manualLayout>
              <c:xMode val="edge"/>
              <c:yMode val="edge"/>
              <c:x val="0.95874573997289791"/>
              <c:y val="0.47621384118975069"/>
            </c:manualLayout>
          </c:layout>
          <c:overlay val="0"/>
          <c:spPr>
            <a:solidFill>
              <a:schemeClr val="bg1"/>
            </a:solidFill>
          </c:spPr>
        </c:title>
        <c:numFmt formatCode="General" sourceLinked="1"/>
        <c:majorTickMark val="none"/>
        <c:minorTickMark val="none"/>
        <c:tickLblPos val="low"/>
        <c:txPr>
          <a:bodyPr/>
          <a:lstStyle/>
          <a:p>
            <a:pPr>
              <a:defRPr sz="1200"/>
            </a:pPr>
            <a:endParaRPr lang="en-US"/>
          </a:p>
        </c:txPr>
        <c:crossAx val="199416448"/>
        <c:crossesAt val="0"/>
        <c:crossBetween val="midCat"/>
        <c:majorUnit val="2"/>
      </c:valAx>
      <c:valAx>
        <c:axId val="199416448"/>
        <c:scaling>
          <c:orientation val="minMax"/>
          <c:max val="10"/>
          <c:min val="-1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/>
        </c:spPr>
        <c:txPr>
          <a:bodyPr rot="0" vert="horz" anchor="ctr" anchorCtr="0"/>
          <a:lstStyle/>
          <a:p>
            <a:pPr>
              <a:defRPr sz="1200"/>
            </a:pPr>
            <a:endParaRPr lang="en-US"/>
          </a:p>
        </c:txPr>
        <c:crossAx val="199414528"/>
        <c:crosses val="autoZero"/>
        <c:crossBetween val="midCat"/>
        <c:majorUnit val="2"/>
      </c:valAx>
      <c:spPr>
        <a:ln w="9525">
          <a:solidFill>
            <a:srgbClr val="00B0F0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/>
              </a:rPr>
              <a:t>Paths</a:t>
            </a:r>
            <a:endParaRPr lang="en-IN">
              <a:effectLst/>
            </a:endParaRPr>
          </a:p>
        </c:rich>
      </c:tx>
      <c:layout>
        <c:manualLayout>
          <c:xMode val="edge"/>
          <c:yMode val="edge"/>
          <c:x val="0.4580562774131951"/>
          <c:y val="4.465844965089530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0251572327044023E-2"/>
          <c:y val="5.6903988348981763E-2"/>
          <c:w val="0.90241280731846774"/>
          <c:h val="0.89848468587552532"/>
        </c:manualLayout>
      </c:layout>
      <c:scatterChart>
        <c:scatterStyle val="lineMarker"/>
        <c:varyColors val="0"/>
        <c:ser>
          <c:idx val="1"/>
          <c:order val="0"/>
          <c:tx>
            <c:strRef>
              <c:f>Paths!$C$1</c:f>
              <c:strCache>
                <c:ptCount val="1"/>
                <c:pt idx="0">
                  <c:v>Paths</c:v>
                </c:pt>
              </c:strCache>
            </c:strRef>
          </c:tx>
          <c:spPr>
            <a:ln w="22225">
              <a:solidFill>
                <a:srgbClr val="00B0F0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Paths!$A$2:$A$1000</c:f>
              <c:numCache>
                <c:formatCode>General</c:formatCode>
                <c:ptCount val="999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0</c:v>
                </c:pt>
                <c:pt idx="10">
                  <c:v>0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8">
                  <c:v>1</c:v>
                </c:pt>
                <c:pt idx="19">
                  <c:v>1</c:v>
                </c:pt>
                <c:pt idx="21">
                  <c:v>1</c:v>
                </c:pt>
                <c:pt idx="22">
                  <c:v>1</c:v>
                </c:pt>
                <c:pt idx="24">
                  <c:v>1</c:v>
                </c:pt>
                <c:pt idx="25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0</c:v>
                </c:pt>
                <c:pt idx="31">
                  <c:v>0</c:v>
                </c:pt>
                <c:pt idx="33">
                  <c:v>2</c:v>
                </c:pt>
                <c:pt idx="34">
                  <c:v>2</c:v>
                </c:pt>
                <c:pt idx="36">
                  <c:v>2</c:v>
                </c:pt>
                <c:pt idx="37">
                  <c:v>2</c:v>
                </c:pt>
                <c:pt idx="39">
                  <c:v>2</c:v>
                </c:pt>
                <c:pt idx="40">
                  <c:v>2</c:v>
                </c:pt>
                <c:pt idx="42">
                  <c:v>2</c:v>
                </c:pt>
                <c:pt idx="43">
                  <c:v>2</c:v>
                </c:pt>
                <c:pt idx="45">
                  <c:v>2</c:v>
                </c:pt>
                <c:pt idx="46">
                  <c:v>2</c:v>
                </c:pt>
                <c:pt idx="48">
                  <c:v>2</c:v>
                </c:pt>
                <c:pt idx="49">
                  <c:v>2</c:v>
                </c:pt>
                <c:pt idx="51">
                  <c:v>0</c:v>
                </c:pt>
                <c:pt idx="52">
                  <c:v>0</c:v>
                </c:pt>
                <c:pt idx="54">
                  <c:v>3</c:v>
                </c:pt>
                <c:pt idx="55">
                  <c:v>3</c:v>
                </c:pt>
                <c:pt idx="57">
                  <c:v>3</c:v>
                </c:pt>
                <c:pt idx="58">
                  <c:v>3</c:v>
                </c:pt>
                <c:pt idx="60">
                  <c:v>3</c:v>
                </c:pt>
                <c:pt idx="61">
                  <c:v>3</c:v>
                </c:pt>
                <c:pt idx="63">
                  <c:v>3</c:v>
                </c:pt>
                <c:pt idx="64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0">
                  <c:v>3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10</c:v>
                </c:pt>
                <c:pt idx="81">
                  <c:v>10</c:v>
                </c:pt>
                <c:pt idx="82">
                  <c:v>10</c:v>
                </c:pt>
                <c:pt idx="84">
                  <c:v>10</c:v>
                </c:pt>
                <c:pt idx="85">
                  <c:v>-10</c:v>
                </c:pt>
                <c:pt idx="87">
                  <c:v>-10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3</c:v>
                </c:pt>
                <c:pt idx="122">
                  <c:v>3</c:v>
                </c:pt>
                <c:pt idx="123">
                  <c:v>1</c:v>
                </c:pt>
                <c:pt idx="124">
                  <c:v>1</c:v>
                </c:pt>
                <c:pt idx="127">
                  <c:v>3</c:v>
                </c:pt>
                <c:pt idx="128">
                  <c:v>3</c:v>
                </c:pt>
                <c:pt idx="129">
                  <c:v>1</c:v>
                </c:pt>
                <c:pt idx="130">
                  <c:v>1</c:v>
                </c:pt>
              </c:numCache>
            </c:numRef>
          </c:xVal>
          <c:yVal>
            <c:numRef>
              <c:f>Paths!$B$2:$B$1000</c:f>
              <c:numCache>
                <c:formatCode>General</c:formatCode>
                <c:ptCount val="999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1</c:v>
                </c:pt>
                <c:pt idx="15">
                  <c:v>1</c:v>
                </c:pt>
                <c:pt idx="16">
                  <c:v>2</c:v>
                </c:pt>
                <c:pt idx="18">
                  <c:v>2</c:v>
                </c:pt>
                <c:pt idx="19">
                  <c:v>3</c:v>
                </c:pt>
                <c:pt idx="21">
                  <c:v>3</c:v>
                </c:pt>
                <c:pt idx="22">
                  <c:v>4</c:v>
                </c:pt>
                <c:pt idx="24">
                  <c:v>4</c:v>
                </c:pt>
                <c:pt idx="25">
                  <c:v>5</c:v>
                </c:pt>
                <c:pt idx="27">
                  <c:v>5</c:v>
                </c:pt>
                <c:pt idx="28">
                  <c:v>6</c:v>
                </c:pt>
                <c:pt idx="30">
                  <c:v>0</c:v>
                </c:pt>
                <c:pt idx="31">
                  <c:v>0</c:v>
                </c:pt>
                <c:pt idx="33">
                  <c:v>0</c:v>
                </c:pt>
                <c:pt idx="34">
                  <c:v>-1</c:v>
                </c:pt>
                <c:pt idx="36">
                  <c:v>-1</c:v>
                </c:pt>
                <c:pt idx="37">
                  <c:v>-2</c:v>
                </c:pt>
                <c:pt idx="39">
                  <c:v>-2</c:v>
                </c:pt>
                <c:pt idx="40">
                  <c:v>-3</c:v>
                </c:pt>
                <c:pt idx="42">
                  <c:v>-3</c:v>
                </c:pt>
                <c:pt idx="43">
                  <c:v>-4</c:v>
                </c:pt>
                <c:pt idx="45">
                  <c:v>-4</c:v>
                </c:pt>
                <c:pt idx="46">
                  <c:v>-5</c:v>
                </c:pt>
                <c:pt idx="48">
                  <c:v>-5</c:v>
                </c:pt>
                <c:pt idx="49">
                  <c:v>-6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1</c:v>
                </c:pt>
                <c:pt idx="57">
                  <c:v>1</c:v>
                </c:pt>
                <c:pt idx="58">
                  <c:v>2</c:v>
                </c:pt>
                <c:pt idx="60">
                  <c:v>2</c:v>
                </c:pt>
                <c:pt idx="61">
                  <c:v>3</c:v>
                </c:pt>
                <c:pt idx="63">
                  <c:v>3</c:v>
                </c:pt>
                <c:pt idx="64">
                  <c:v>4</c:v>
                </c:pt>
                <c:pt idx="66">
                  <c:v>4</c:v>
                </c:pt>
                <c:pt idx="67">
                  <c:v>5</c:v>
                </c:pt>
                <c:pt idx="69">
                  <c:v>5</c:v>
                </c:pt>
                <c:pt idx="70">
                  <c:v>6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-10</c:v>
                </c:pt>
                <c:pt idx="81">
                  <c:v>-10</c:v>
                </c:pt>
                <c:pt idx="82">
                  <c:v>10</c:v>
                </c:pt>
                <c:pt idx="84">
                  <c:v>10</c:v>
                </c:pt>
                <c:pt idx="85">
                  <c:v>10</c:v>
                </c:pt>
                <c:pt idx="87">
                  <c:v>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6</c:v>
                </c:pt>
                <c:pt idx="122">
                  <c:v>7</c:v>
                </c:pt>
                <c:pt idx="123">
                  <c:v>7</c:v>
                </c:pt>
                <c:pt idx="124">
                  <c:v>6</c:v>
                </c:pt>
                <c:pt idx="127">
                  <c:v>6</c:v>
                </c:pt>
                <c:pt idx="128">
                  <c:v>7</c:v>
                </c:pt>
                <c:pt idx="129">
                  <c:v>7</c:v>
                </c:pt>
                <c:pt idx="13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AD-403F-AE92-56ED7C115FE4}"/>
            </c:ext>
          </c:extLst>
        </c:ser>
        <c:ser>
          <c:idx val="0"/>
          <c:order val="1"/>
          <c:tx>
            <c:strRef>
              <c:f>Spots!$C$1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gradFill>
                <a:gsLst>
                  <a:gs pos="0">
                    <a:srgbClr val="4F81BD">
                      <a:lumMod val="5000"/>
                      <a:lumOff val="95000"/>
                    </a:srgbClr>
                  </a:gs>
                  <a:gs pos="100000">
                    <a:srgbClr val="21C5FF"/>
                  </a:gs>
                </a:gsLst>
                <a:lin ang="5400000" scaled="1"/>
              </a:gradFill>
              <a:ln w="3175">
                <a:solidFill>
                  <a:schemeClr val="accent1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46AD-403F-AE92-56ED7C115FE4}"/>
              </c:ext>
            </c:extLst>
          </c:dPt>
          <c:dLbls>
            <c:dLbl>
              <c:idx val="0"/>
              <c:layout>
                <c:manualLayout>
                  <c:x val="-4.1369260716376088E-2"/>
                  <c:y val="-2.2029921391318923E-2"/>
                </c:manualLayout>
              </c:layout>
              <c:tx>
                <c:rich>
                  <a:bodyPr/>
                  <a:lstStyle/>
                  <a:p>
                    <a:fld id="{89F7D6DF-542B-46BA-A312-D378F77E3782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6AD-403F-AE92-56ED7C115FE4}"/>
                </c:ext>
              </c:extLst>
            </c:dLbl>
            <c:dLbl>
              <c:idx val="1"/>
              <c:layout>
                <c:manualLayout>
                  <c:x val="-4.0498287057951304E-2"/>
                  <c:y val="-2.1214557470474217E-2"/>
                </c:manualLayout>
              </c:layout>
              <c:tx>
                <c:rich>
                  <a:bodyPr/>
                  <a:lstStyle/>
                  <a:p>
                    <a:fld id="{FC4B2072-2841-4AB6-8342-3C2BE2A4E75E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46AD-403F-AE92-56ED7C115FE4}"/>
                </c:ext>
              </c:extLst>
            </c:dLbl>
            <c:dLbl>
              <c:idx val="2"/>
              <c:layout>
                <c:manualLayout>
                  <c:x val="-3.4403306580179066E-2"/>
                  <c:y val="-2.11276811635428E-2"/>
                </c:manualLayout>
              </c:layout>
              <c:tx>
                <c:rich>
                  <a:bodyPr/>
                  <a:lstStyle/>
                  <a:p>
                    <a:fld id="{7C975417-4306-42C8-84BD-4549329660B3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6AD-403F-AE92-56ED7C115FE4}"/>
                </c:ext>
              </c:extLst>
            </c:dLbl>
            <c:dLbl>
              <c:idx val="3"/>
              <c:layout>
                <c:manualLayout>
                  <c:x val="-1.1812127831569211E-2"/>
                  <c:y val="-2.121630321186636E-2"/>
                </c:manualLayout>
              </c:layout>
              <c:tx>
                <c:rich>
                  <a:bodyPr/>
                  <a:lstStyle/>
                  <a:p>
                    <a:fld id="{A24C7807-7EBE-434C-9CC8-BDE187956EF5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6AD-403F-AE92-56ED7C115F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AD-403F-AE92-56ED7C115F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96E60B-ACEA-4F63-BC5A-D1D8A516F15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AD-403F-AE92-56ED7C115F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6B48DD-8FE0-4701-9C81-504DECD8E62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AD-403F-AE92-56ED7C115F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6FDE1E-5EEC-4F38-9279-1451FDCD048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AD-403F-AE92-56ED7C115F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E4054B2-5934-4541-9C20-734C67F60A6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AD-403F-AE92-56ED7C115F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AAA0A1A-C88C-4CB0-B31E-43BD84D95E0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AD-403F-AE92-56ED7C115F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BA9CE6A-7F7B-40A6-B22E-F75FD31FB7B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AD-403F-AE92-56ED7C115F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AD-403F-AE92-56ED7C115F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BB6B49A-3864-440F-84B0-AE38762613A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AD-403F-AE92-56ED7C115F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EB18FAB-115A-4AAC-B5B7-D82F20E63EC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AD-403F-AE92-56ED7C115F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764E08-BFEB-41E3-9CB2-F9770203FF4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AD-403F-AE92-56ED7C115F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9539483-B385-441D-BCD3-16815F588CC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AD-403F-AE92-56ED7C115F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750A8B3-A102-4BE1-BF44-E1CB6DAD72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AD-403F-AE92-56ED7C115F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01B2F6-5795-43E2-AABA-E04373AC6EC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AD-403F-AE92-56ED7C115F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AD-403F-AE92-56ED7C115F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B8DF95-336E-4534-BCA6-6B2706D24DA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AD-403F-AE92-56ED7C115F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3DACFFF-E544-4C1A-95D9-BA202E7148B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AD-403F-AE92-56ED7C115F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74990A-5C88-46CE-A3C1-8651B64AAFD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AD-403F-AE92-56ED7C115F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B31B122-98FD-4EA2-98D0-C9FC4499865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AD-403F-AE92-56ED7C115F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371786-9087-49B9-8664-01258D21574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AD-403F-AE92-56ED7C115F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E946804-3662-42A7-A11C-61FBEA59A77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AD-403F-AE92-56ED7C115F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AD-403F-AE92-56ED7C115FE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81C05AE-2324-4D39-BA80-F2B11C577A8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AD-403F-AE92-56ED7C115FE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6A0DF6F-68BA-4A3D-A4A1-04445F142D1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AD-403F-AE92-56ED7C115FE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AD-403F-AE92-56ED7C115FE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1070AB-A7EC-4C40-9545-C4914F67C3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AD-403F-AE92-56ED7C115FE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5AF3B5-3D25-4370-9000-A35CDA364CD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AD-403F-AE92-56ED7C115FE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AC957F4-8121-439C-A7DA-F1B3C6F90D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AD-403F-AE92-56ED7C115FE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90BCCBB-F39A-4F3E-9612-6FAE62D77D1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AD-403F-AE92-56ED7C115FE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C4BBAD6-BB8E-4B36-B6EC-1937929EB3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AD-403F-AE92-56ED7C115FE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AD-403F-AE92-56ED7C115FE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AD-403F-AE92-56ED7C115FE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AD-403F-AE92-56ED7C115FE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AD-403F-AE92-56ED7C115FE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AD-403F-AE92-56ED7C115FE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AD-403F-AE92-56ED7C115FE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AD-403F-AE92-56ED7C115FE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AD-403F-AE92-56ED7C115FE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AD-403F-AE92-56ED7C115FE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AD-403F-AE92-56ED7C115FE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AD-403F-AE92-56ED7C115FE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AD-403F-AE92-56ED7C115FE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AD-403F-AE92-56ED7C115FE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AD-403F-AE92-56ED7C115FE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AD-403F-AE92-56ED7C115FE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AD-403F-AE92-56ED7C115FE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AD-403F-AE92-56ED7C115FE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AD-403F-AE92-56ED7C115FE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AD-403F-AE92-56ED7C115FE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AD-403F-AE92-56ED7C115FE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AD-403F-AE92-56ED7C115FE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AD-403F-AE92-56ED7C115FE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AD-403F-AE92-56ED7C115FE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AD-403F-AE92-56ED7C115FE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AD-403F-AE92-56ED7C115FE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AD-403F-AE92-56ED7C115FE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AD-403F-AE92-56ED7C115FE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AD-403F-AE92-56ED7C115FE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AD-403F-AE92-56ED7C115FE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AD-403F-AE92-56ED7C115FE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AD-403F-AE92-56ED7C115FE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AD-403F-AE92-56ED7C115FE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AD-403F-AE92-56ED7C115FE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AD-403F-AE92-56ED7C115FE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AD-403F-AE92-56ED7C115FE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AD-403F-AE92-56ED7C115FE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AD-403F-AE92-56ED7C115FE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AD-403F-AE92-56ED7C115FE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AD-403F-AE92-56ED7C115FE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AD-403F-AE92-56ED7C115FE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AD-403F-AE92-56ED7C115FE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AD-403F-AE92-56ED7C115FE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AD-403F-AE92-56ED7C115FE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AD-403F-AE92-56ED7C115FE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AD-403F-AE92-56ED7C115FE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AD-403F-AE92-56ED7C115FE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AD-403F-AE92-56ED7C115FE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AD-403F-AE92-56ED7C115FE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AD-403F-AE92-56ED7C115FE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AD-403F-AE92-56ED7C115FE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AD-403F-AE92-56ED7C115FE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AD-403F-AE92-56ED7C115FE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AD-403F-AE92-56ED7C115FE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AD-403F-AE92-56ED7C115FE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AD-403F-AE92-56ED7C115FE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AD-403F-AE92-56ED7C115FE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AD-403F-AE92-56ED7C115FE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AD-403F-AE92-56ED7C115FE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AD-403F-AE92-56ED7C115FE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AD-403F-AE92-56ED7C115FE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AD-403F-AE92-56ED7C115FE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AD-403F-AE92-56ED7C115FE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AD-403F-AE92-56ED7C115FE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AD-403F-AE92-56ED7C115FE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AD-403F-AE92-56ED7C115FE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AD-403F-AE92-56ED7C115FE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AD-403F-AE92-56ED7C115FE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AD-403F-AE92-56ED7C115FE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AD-403F-AE92-56ED7C115FE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AD-403F-AE92-56ED7C115FE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AD-403F-AE92-56ED7C115FE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AD-403F-AE92-56ED7C115FE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AD-403F-AE92-56ED7C115FE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AD-403F-AE92-56ED7C115FE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AD-403F-AE92-56ED7C115FE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AD-403F-AE92-56ED7C115FE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AD-403F-AE92-56ED7C115FE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AD-403F-AE92-56ED7C115FE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AD-403F-AE92-56ED7C115FE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AD-403F-AE92-56ED7C115FE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AD-403F-AE92-56ED7C115FE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AD-403F-AE92-56ED7C115FE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AD-403F-AE92-56ED7C115FE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AD-403F-AE92-56ED7C115FE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AD-403F-AE92-56ED7C115FE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AD-403F-AE92-56ED7C115FE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AD-403F-AE92-56ED7C115FE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AD-403F-AE92-56ED7C115FE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AD-403F-AE92-56ED7C115FE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AD-403F-AE92-56ED7C115FE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AD-403F-AE92-56ED7C115FE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AD-403F-AE92-56ED7C115FE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AD-403F-AE92-56ED7C115FE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AD-403F-AE92-56ED7C115FE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AD-403F-AE92-56ED7C115FE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AD-403F-AE92-56ED7C115FE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AD-403F-AE92-56ED7C115FE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AD-403F-AE92-56ED7C115FE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AD-403F-AE92-56ED7C115FE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AD-403F-AE92-56ED7C115FE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AD-403F-AE92-56ED7C115FE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AD-403F-AE92-56ED7C115FE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AD-403F-AE92-56ED7C115FE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AD-403F-AE92-56ED7C115FE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AD-403F-AE92-56ED7C115FE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AD-403F-AE92-56ED7C115FE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AD-403F-AE92-56ED7C115FE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AD-403F-AE92-56ED7C115FE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AD-403F-AE92-56ED7C115FE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AD-403F-AE92-56ED7C115FE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AD-403F-AE92-56ED7C115FE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AD-403F-AE92-56ED7C115FE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AD-403F-AE92-56ED7C115FE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AD-403F-AE92-56ED7C115FE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AD-403F-AE92-56ED7C115FE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AD-403F-AE92-56ED7C115FE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AD-403F-AE92-56ED7C115FE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AD-403F-AE92-56ED7C115FE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AD-403F-AE92-56ED7C115FE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AD-403F-AE92-56ED7C115FE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AD-403F-AE92-56ED7C115FE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AD-403F-AE92-56ED7C115FE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AD-403F-AE92-56ED7C115FE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AD-403F-AE92-56ED7C115FE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AD-403F-AE92-56ED7C115FE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AD-403F-AE92-56ED7C115FE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AD-403F-AE92-56ED7C115FE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AD-403F-AE92-56ED7C115FE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AD-403F-AE92-56ED7C115FE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AD-403F-AE92-56ED7C115FE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AD-403F-AE92-56ED7C115FE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AD-403F-AE92-56ED7C115FE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AD-403F-AE92-56ED7C115FE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AD-403F-AE92-56ED7C115FE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AD-403F-AE92-56ED7C115FE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AD-403F-AE92-56ED7C115FE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AD-403F-AE92-56ED7C115FE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AD-403F-AE92-56ED7C115FE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AD-403F-AE92-56ED7C115FE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AD-403F-AE92-56ED7C115FE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AD-403F-AE92-56ED7C115FE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AD-403F-AE92-56ED7C115FE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AD-403F-AE92-56ED7C115FE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AD-403F-AE92-56ED7C115FE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AD-403F-AE92-56ED7C115FE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AD-403F-AE92-56ED7C115FE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AD-403F-AE92-56ED7C115FE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AD-403F-AE92-56ED7C115FE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AD-403F-AE92-56ED7C115FE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AD-403F-AE92-56ED7C115FE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AD-403F-AE92-56ED7C115FE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AD-403F-AE92-56ED7C115FE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AD-403F-AE92-56ED7C115FE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AD-403F-AE92-56ED7C115FE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AD-403F-AE92-56ED7C115FE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AD-403F-AE92-56ED7C115FE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AD-403F-AE92-56ED7C115FE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AD-403F-AE92-56ED7C115FE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AD-403F-AE92-56ED7C115FE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AD-403F-AE92-56ED7C115FE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AD-403F-AE92-56ED7C115FE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AD-403F-AE92-56ED7C115FE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AD-403F-AE92-56ED7C115FE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AD-403F-AE92-56ED7C115FE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8E-42EC-B5FC-4E3E9168C1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8E-42EC-B5FC-4E3E9168C1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8E-42EC-B5FC-4E3E9168C1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8E-42EC-B5FC-4E3E9168C1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8E-42EC-B5FC-4E3E9168C1BF}"/>
                </c:ext>
              </c:extLst>
            </c:dLbl>
            <c:spPr>
              <a:gradFill>
                <a:gsLst>
                  <a:gs pos="0">
                    <a:srgbClr val="4F81BD">
                      <a:lumMod val="5000"/>
                      <a:lumOff val="95000"/>
                      <a:alpha val="30000"/>
                    </a:srgbClr>
                  </a:gs>
                  <a:gs pos="97000">
                    <a:srgbClr val="00B0F0"/>
                  </a:gs>
                  <a:gs pos="50000">
                    <a:srgbClr val="ECF1F8"/>
                  </a:gs>
                </a:gsLst>
                <a:lin ang="5400000" scaled="1"/>
              </a:gradFill>
              <a:ln w="6350">
                <a:solidFill>
                  <a:srgbClr val="00B0F0"/>
                </a:solidFill>
              </a:ln>
              <a:effectLst/>
            </c:spPr>
            <c:txPr>
              <a:bodyPr rot="0" vertOverflow="overflow" horzOverflow="overflow" vert="horz" wrap="none" lIns="36000" tIns="36000" rIns="36000" bIns="36000" anchor="ctr" anchorCtr="0">
                <a:spAutoFit/>
              </a:bodyPr>
              <a:lstStyle/>
              <a:p>
                <a:pPr>
                  <a:defRPr sz="7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Spots!$B$3:$B$205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6">
                  <c:v>2</c:v>
                </c:pt>
                <c:pt idx="27">
                  <c:v>2</c:v>
                </c:pt>
                <c:pt idx="29">
                  <c:v>-10</c:v>
                </c:pt>
                <c:pt idx="30">
                  <c:v>10</c:v>
                </c:pt>
                <c:pt idx="31">
                  <c:v>10</c:v>
                </c:pt>
                <c:pt idx="32">
                  <c:v>-10</c:v>
                </c:pt>
                <c:pt idx="33">
                  <c:v>-9</c:v>
                </c:pt>
              </c:numCache>
            </c:numRef>
          </c:xVal>
          <c:yVal>
            <c:numRef>
              <c:f>Spots!$C$3:$C$205</c:f>
              <c:numCache>
                <c:formatCode>General</c:formatCode>
                <c:ptCount val="2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2">
                  <c:v>-1</c:v>
                </c:pt>
                <c:pt idx="13">
                  <c:v>-2</c:v>
                </c:pt>
                <c:pt idx="14">
                  <c:v>-3</c:v>
                </c:pt>
                <c:pt idx="15">
                  <c:v>-4</c:v>
                </c:pt>
                <c:pt idx="16">
                  <c:v>-5</c:v>
                </c:pt>
                <c:pt idx="17">
                  <c:v>-6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6">
                  <c:v>8</c:v>
                </c:pt>
                <c:pt idx="27">
                  <c:v>-8</c:v>
                </c:pt>
                <c:pt idx="29">
                  <c:v>-10</c:v>
                </c:pt>
                <c:pt idx="30">
                  <c:v>-10</c:v>
                </c:pt>
                <c:pt idx="31">
                  <c:v>10</c:v>
                </c:pt>
                <c:pt idx="32">
                  <c:v>10</c:v>
                </c:pt>
                <c:pt idx="33">
                  <c:v>-10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Spots!$A$3:$A$127</c15:f>
                <c15:dlblRangeCache>
                  <c:ptCount val="125"/>
                  <c:pt idx="0">
                    <c:v>Intro</c:v>
                  </c:pt>
                  <c:pt idx="1">
                    <c:v>Features</c:v>
                  </c:pt>
                  <c:pt idx="2">
                    <c:v>Applications</c:v>
                  </c:pt>
                  <c:pt idx="3">
                    <c:v>Benefits</c:v>
                  </c:pt>
                  <c:pt idx="5">
                    <c:v>Feature1</c:v>
                  </c:pt>
                  <c:pt idx="6">
                    <c:v>Feature2</c:v>
                  </c:pt>
                  <c:pt idx="7">
                    <c:v>Feature3</c:v>
                  </c:pt>
                  <c:pt idx="8">
                    <c:v>Feature4</c:v>
                  </c:pt>
                  <c:pt idx="9">
                    <c:v>Feature5</c:v>
                  </c:pt>
                  <c:pt idx="10">
                    <c:v>Feature6</c:v>
                  </c:pt>
                  <c:pt idx="12">
                    <c:v>Application1</c:v>
                  </c:pt>
                  <c:pt idx="13">
                    <c:v>Application2</c:v>
                  </c:pt>
                  <c:pt idx="14">
                    <c:v>Application3</c:v>
                  </c:pt>
                  <c:pt idx="15">
                    <c:v>Application4</c:v>
                  </c:pt>
                  <c:pt idx="16">
                    <c:v>Application5</c:v>
                  </c:pt>
                  <c:pt idx="17">
                    <c:v>Application6</c:v>
                  </c:pt>
                  <c:pt idx="19">
                    <c:v>Benefit1</c:v>
                  </c:pt>
                  <c:pt idx="20">
                    <c:v>Benefit2</c:v>
                  </c:pt>
                  <c:pt idx="21">
                    <c:v>Benefit3</c:v>
                  </c:pt>
                  <c:pt idx="22">
                    <c:v>Benefit4</c:v>
                  </c:pt>
                  <c:pt idx="23">
                    <c:v>Benefit5</c:v>
                  </c:pt>
                  <c:pt idx="24">
                    <c:v>Benefit6</c:v>
                  </c:pt>
                  <c:pt idx="26">
                    <c:v>Teleport1</c:v>
                  </c:pt>
                  <c:pt idx="27">
                    <c:v>Teleport2</c:v>
                  </c:pt>
                  <c:pt idx="29">
                    <c:v>Blank_1</c:v>
                  </c:pt>
                  <c:pt idx="30">
                    <c:v>Blank_2</c:v>
                  </c:pt>
                  <c:pt idx="31">
                    <c:v>Blank_3</c:v>
                  </c:pt>
                  <c:pt idx="32">
                    <c:v>Blank_4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C8-46AD-403F-AE92-56ED7C115FE4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199414528"/>
        <c:axId val="199416448"/>
      </c:scatterChart>
      <c:valAx>
        <c:axId val="199414528"/>
        <c:scaling>
          <c:orientation val="minMax"/>
          <c:max val="10"/>
          <c:min val="-1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X</a:t>
                </a:r>
              </a:p>
            </c:rich>
          </c:tx>
          <c:layout>
            <c:manualLayout>
              <c:xMode val="edge"/>
              <c:yMode val="edge"/>
              <c:x val="0.95874573997289791"/>
              <c:y val="0.47621384118975069"/>
            </c:manualLayout>
          </c:layout>
          <c:overlay val="0"/>
          <c:spPr>
            <a:solidFill>
              <a:schemeClr val="bg1"/>
            </a:solidFill>
          </c:spPr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99416448"/>
        <c:crossesAt val="0"/>
        <c:crossBetween val="midCat"/>
        <c:majorUnit val="2"/>
      </c:valAx>
      <c:valAx>
        <c:axId val="199416448"/>
        <c:scaling>
          <c:orientation val="minMax"/>
          <c:max val="10"/>
          <c:min val="-1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/>
        </c:spPr>
        <c:txPr>
          <a:bodyPr rot="0" vert="horz" anchor="ctr" anchorCtr="0"/>
          <a:lstStyle/>
          <a:p>
            <a:pPr>
              <a:defRPr sz="1200"/>
            </a:pPr>
            <a:endParaRPr lang="en-US"/>
          </a:p>
        </c:txPr>
        <c:crossAx val="199414528"/>
        <c:crosses val="autoZero"/>
        <c:crossBetween val="midCat"/>
        <c:majorUnit val="2"/>
      </c:valAx>
      <c:spPr>
        <a:ln w="9525">
          <a:solidFill>
            <a:srgbClr val="00B0F0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 sz="1800" b="1" i="0" u="none" strike="noStrike" baseline="0">
                <a:effectLst/>
              </a:rPr>
              <a:t>Grid for an manual p</a:t>
            </a:r>
            <a:r>
              <a:rPr lang="en-IN"/>
              <a:t>ath creation  (Optional)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251572327044023E-2"/>
          <c:y val="5.6903988348981763E-2"/>
          <c:w val="0.90241280731846774"/>
          <c:h val="0.89848468587552532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11050F-FEDE-4AC0-996E-65A25EB4CDF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E22-4BEC-ACB0-D5E3631078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F06F12-29B5-4435-BBF4-5D07F703223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E22-4BEC-ACB0-D5E3631078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CD5F44-6D77-4FCD-8541-96A2378BAA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E22-4BEC-ACB0-D5E3631078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15C509-6C32-431B-8959-CBA3D1A3FAB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E22-4BEC-ACB0-D5E3631078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63E46C-3514-41CA-987F-ABCBA00CFDA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E22-4BEC-ACB0-D5E3631078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41F6E1-9C3F-47E3-8722-DF20BA91A81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E22-4BEC-ACB0-D5E3631078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E82E035-2C98-440D-99FC-69651CB769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E22-4BEC-ACB0-D5E3631078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CAC887-2C2E-4A8E-88A2-0C8B05B7D3C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E22-4BEC-ACB0-D5E3631078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9D6BD5-C594-433F-9A3F-E6FEA5B6AF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E22-4BEC-ACB0-D5E3631078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286EB6-B69A-4896-989E-644D6E095F6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E22-4BEC-ACB0-D5E3631078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CB1C8B-DCD7-404B-9E13-AF408C3A0FA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E22-4BEC-ACB0-D5E3631078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5432EC-84FE-42DF-B36A-51B937F2208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E22-4BEC-ACB0-D5E3631078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8227051-6E73-4A40-87A7-D1F0128E778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E22-4BEC-ACB0-D5E3631078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646FFFE-C748-4301-A468-F3670BC05A2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E22-4BEC-ACB0-D5E3631078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4A98E09-CDB4-4A34-881D-0E1EF55AB0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E22-4BEC-ACB0-D5E3631078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0A6C6D3-B95E-4894-A36B-B8CD1F9044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E22-4BEC-ACB0-D5E3631078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4AB8D2A-AAD8-4EAD-921D-74F04FE22C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E22-4BEC-ACB0-D5E3631078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E047C2-290A-439B-9ED8-D98A8281713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E22-4BEC-ACB0-D5E3631078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7A960F4-40E0-45E8-9831-4DF137162D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E22-4BEC-ACB0-D5E3631078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4ABE2C-42A3-403E-ACE3-15A69500314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E22-4BEC-ACB0-D5E3631078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3754C12-1547-4934-8E39-26883D2ABC0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E22-4BEC-ACB0-D5E3631078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D181E7D-F154-4F22-B7F0-8AF540F76C0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E22-4BEC-ACB0-D5E3631078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A34626D-8BA4-45DE-800A-650F77EECA3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E22-4BEC-ACB0-D5E3631078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34B551C-5863-4C26-AEAE-B7FC6B98D0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E22-4BEC-ACB0-D5E3631078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F5E9BCA-6A7E-4782-8BDF-C359669983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E22-4BEC-ACB0-D5E3631078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A7D8306-DFA5-4EE5-B9B3-6AD0311DCF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E22-4BEC-ACB0-D5E3631078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6189E09-FB3A-4F0A-BF7F-7F62015555B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E22-4BEC-ACB0-D5E3631078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2C8F798-3E5E-421D-B84E-83B1AA35AD1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E22-4BEC-ACB0-D5E3631078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8033CE-B620-4C18-87AC-65319F46418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E22-4BEC-ACB0-D5E3631078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3B9B2F-86CD-4D11-A291-4F4AD5D6E5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E22-4BEC-ACB0-D5E3631078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0657C54-6692-487F-916B-50743E6FA94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E22-4BEC-ACB0-D5E3631078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EDF14A1-7749-48C1-9504-6E060029F8E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E22-4BEC-ACB0-D5E3631078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481F039-21AD-410D-A697-80CC7DF079D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E22-4BEC-ACB0-D5E3631078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07861A2-CF92-4BC1-8E16-CB13AFC7AD6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E22-4BEC-ACB0-D5E3631078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8BAE85-2B73-4E4C-A633-2CB389D0DCC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E22-4BEC-ACB0-D5E3631078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22F54F2-BBAB-4201-B483-DE98FB9BAE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E22-4BEC-ACB0-D5E3631078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823E740-3C10-4A79-92D6-C842F190DFC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E22-4BEC-ACB0-D5E3631078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A79553E-6CA5-4800-9BD9-08528D77D30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E22-4BEC-ACB0-D5E3631078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C9417DF-F4C5-4945-9185-60017B5BE8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E22-4BEC-ACB0-D5E3631078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D58F4AB-46C3-4601-BF6D-051DE344A72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E22-4BEC-ACB0-D5E3631078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D577CC1-DE87-4C99-BC7D-A3B8F570A3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E22-4BEC-ACB0-D5E3631078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FAFB085-C78A-4CA1-BA16-45968BBE15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E22-4BEC-ACB0-D5E3631078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689AC6D-7ABD-47A4-A67F-310328F6196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E22-4BEC-ACB0-D5E3631078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13765C-EBA8-4C37-B869-CBEA36CCD21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E22-4BEC-ACB0-D5E3631078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92F6AF-FBF9-45DD-B4E9-29A16B596D8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E22-4BEC-ACB0-D5E3631078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BA45E8-E0E9-4D5F-8FDE-3B2A057E80A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E22-4BEC-ACB0-D5E3631078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AD1FBC9-CE30-48E1-B862-62FA6E60414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E22-4BEC-ACB0-D5E3631078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BC35CA3-CBD1-40CE-8104-12D0EB868F7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E22-4BEC-ACB0-D5E3631078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82EA88F-5E8D-4360-B7CA-C05102803E8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E22-4BEC-ACB0-D5E3631078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FD83147-35A6-41E6-AAFB-FBC873F53F0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E22-4BEC-ACB0-D5E3631078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F57C5D9-7041-4D0E-ABEC-BA0360728A1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E22-4BEC-ACB0-D5E3631078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0DDAB87-84F1-477D-B42C-1E6B9F44E42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E22-4BEC-ACB0-D5E3631078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9039435-C2D0-4E6B-B400-E676D86A7F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E22-4BEC-ACB0-D5E3631078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5CD34A8-B04A-4CD0-86BD-EB3CE846342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E22-4BEC-ACB0-D5E3631078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53242E-42CA-4754-9102-354F3F7534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E22-4BEC-ACB0-D5E3631078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DA32D21-7B5C-4E69-B86F-4813620F04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E22-4BEC-ACB0-D5E3631078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1E6EE98-498A-423F-AA4D-1020BB67704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E22-4BEC-ACB0-D5E3631078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644E247-4739-4623-82EA-6BA858E19DB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E22-4BEC-ACB0-D5E3631078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5EBDABE-30FF-49EB-8556-E6687B40AE3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E22-4BEC-ACB0-D5E3631078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C7B0169-C6BA-4F7D-A64C-40713A25A8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E22-4BEC-ACB0-D5E3631078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0BFB2D3-1B33-4171-89A7-B3FDFEEA025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E22-4BEC-ACB0-D5E3631078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A880C3D-3A65-43E6-B7ED-06EA8C7C0FD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E22-4BEC-ACB0-D5E3631078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6567E69-8727-4BB6-83AA-A7CEDD8CA82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E22-4BEC-ACB0-D5E3631078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B3BA15A-EA1E-4DBA-935F-0DD98D29078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E22-4BEC-ACB0-D5E3631078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BD77E2F-44BE-4903-881C-64883E860FA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E22-4BEC-ACB0-D5E3631078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6B79C6B-3A52-40DB-BB4D-0879C953B36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E22-4BEC-ACB0-D5E3631078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0EC3DF-72A7-4DD8-8DF8-98A6D82A0D3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E22-4BEC-ACB0-D5E3631078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0F51F82-D78F-444D-AE63-20B6D3CB533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E22-4BEC-ACB0-D5E3631078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B5B2064-6E85-47F1-B5AD-9D52EDD3E14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E22-4BEC-ACB0-D5E3631078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12FAC1C-A96B-4C42-B789-DEFEAF316EE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E22-4BEC-ACB0-D5E3631078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A1D4CDE-2184-4AFD-96E2-5059E43C3D3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E22-4BEC-ACB0-D5E3631078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B05B889-AB22-4268-B5F3-DAE8EDF234F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E22-4BEC-ACB0-D5E3631078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EE61BB1-327B-410C-A030-872622CA09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E22-4BEC-ACB0-D5E3631078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F72B05-CAF5-40A9-AD8D-0299371BD40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E22-4BEC-ACB0-D5E3631078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7C0B6F6-0D70-4010-B8D5-23338EF8F95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E22-4BEC-ACB0-D5E3631078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5E8D21E-8DC8-4ADB-8428-DF1AB6F9083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E22-4BEC-ACB0-D5E3631078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B7315D3-6EE1-4627-B1A6-44D35AF49ED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E22-4BEC-ACB0-D5E3631078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CA84923-E237-4B68-BC90-3C2EB597ACB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E22-4BEC-ACB0-D5E3631078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CDF4E45-4EF2-4711-A855-236BE4A0B94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E22-4BEC-ACB0-D5E3631078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A6637B-EFF6-49E2-A726-1CCB2B42D44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E22-4BEC-ACB0-D5E3631078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307E830-1F83-4F64-A758-A688B4BE904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E22-4BEC-ACB0-D5E3631078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55FF11A-C8F9-4570-B2EA-4DFFA1D7309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E22-4BEC-ACB0-D5E3631078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9743A02-AD15-4B3F-9C68-8EDB139FF11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E22-4BEC-ACB0-D5E3631078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494C88-0197-4000-A9AC-B7A83436169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E22-4BEC-ACB0-D5E3631078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993E41A-BDE6-4DF7-A6CB-A5FE18019D1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E22-4BEC-ACB0-D5E3631078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E5D42EF-5EE9-41B1-A6FE-D7754C123A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E22-4BEC-ACB0-D5E3631078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8920036-395C-4593-991C-B4032D2B3D1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E22-4BEC-ACB0-D5E3631078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CE216CF-424F-4355-A187-727963D7AB2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E22-4BEC-ACB0-D5E3631078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BE54984-95FA-447D-B845-9D2F20CDF16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E22-4BEC-ACB0-D5E3631078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5192B53-8E9A-4039-8EE6-581D7BC7A1A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E22-4BEC-ACB0-D5E3631078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294F348-1AAE-406F-90C8-06CB874892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E22-4BEC-ACB0-D5E3631078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410EE40-0B78-4BD1-ACA8-AF7C189F89B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E22-4BEC-ACB0-D5E3631078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268AC09-8933-43AB-93EE-C27CC10323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E22-4BEC-ACB0-D5E3631078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ECB9924-3007-4186-96F5-7C6C1E730F9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E22-4BEC-ACB0-D5E3631078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2A55F48-F90B-4A17-BFB4-4A4E21415CE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E22-4BEC-ACB0-D5E3631078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7B9EF3-BC43-47B4-B470-DF931B25C64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E22-4BEC-ACB0-D5E3631078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076D32D-C232-40B5-82B5-C7F0C8A76C4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E22-4BEC-ACB0-D5E3631078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AC18D96-BD40-4A37-BF03-04A06FE2AE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E22-4BEC-ACB0-D5E3631078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A32E3E-2B56-416D-936F-18196861997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E22-4BEC-ACB0-D5E3631078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0CCBA3A-A28F-4B08-9C9D-5E0BEDD9C9A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E22-4BEC-ACB0-D5E3631078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4AACBA3-60D5-425D-B9B3-859B791215D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E22-4BEC-ACB0-D5E3631078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ADB29AF-6A19-4CB4-879B-E1D083696F3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E22-4BEC-ACB0-D5E3631078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CCD1D95-844F-4A08-BEC8-F1A2F4EDC8C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E22-4BEC-ACB0-D5E3631078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153FE16-E1BC-4212-84D1-033A96A49B0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E22-4BEC-ACB0-D5E3631078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3D2FED2-8E97-4C45-82AC-9F2463B7817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E22-4BEC-ACB0-D5E3631078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88E0F29-C15A-4ABB-A7A8-787130036C1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E22-4BEC-ACB0-D5E3631078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BAEBF92-9EF5-4238-9612-BB5BA844700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E22-4BEC-ACB0-D5E3631078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887F474-C81B-4ABB-8787-C09C8D6531E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E22-4BEC-ACB0-D5E3631078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05926D0-FD07-428A-A730-F568D65A1F4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E22-4BEC-ACB0-D5E3631078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43AB419-34E6-4B8D-99E8-F2D1B7E1D7B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E22-4BEC-ACB0-D5E3631078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5E215F-D19B-4606-BC4D-1AEE8504B76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E22-4BEC-ACB0-D5E3631078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1DA4CED-7C5F-49C0-A8C8-57676111036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E22-4BEC-ACB0-D5E3631078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2579991-C569-4A27-9F2F-8C848F277BD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E22-4BEC-ACB0-D5E3631078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A8F4737-D4FC-4B64-95B4-7342441AB96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E22-4BEC-ACB0-D5E3631078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ECDBEE-73BA-4F10-85A1-97163E0CDEB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E22-4BEC-ACB0-D5E3631078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31628C-389C-4D10-A6D6-2CE01359D50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E22-4BEC-ACB0-D5E3631078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15BC8E6-9782-46B0-8042-23668B0499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E22-4BEC-ACB0-D5E3631078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2C78D77-E3BC-4A29-8E2B-25B08579048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E22-4BEC-ACB0-D5E3631078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527388F-A4D6-4D6D-B036-F350C8F3E5A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E22-4BEC-ACB0-D5E3631078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C8F51E8-E2D7-4AB3-AEB4-068E0A72816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E22-4BEC-ACB0-D5E3631078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39AE0A-5B55-496B-B3DE-E3EBDB06A04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E22-4BEC-ACB0-D5E3631078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783E8B-C4E7-48C1-8DC7-BE2467C3713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E22-4BEC-ACB0-D5E3631078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B51EEEA-7450-40F7-B02A-75D5C5EF69E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E22-4BEC-ACB0-D5E3631078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BE74B0-3A83-4D53-9CF8-BF30FC45899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E22-4BEC-ACB0-D5E3631078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1CBF69A-A9D5-4C96-A6BA-7AD00C780D9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E22-4BEC-ACB0-D5E3631078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A1BFF4C-25FF-42F3-8471-58B5FF8D51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E22-4BEC-ACB0-D5E3631078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BA1D4D0-BEF3-4184-A7B9-8840C62373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E22-4BEC-ACB0-D5E3631078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83F985-82D2-440B-8062-AE132520AB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E22-4BEC-ACB0-D5E3631078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D6217A1-EA38-4B3E-ABE6-58F2E759CFF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E22-4BEC-ACB0-D5E3631078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66E6749-BD63-4EA9-9884-9F933EE93F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E22-4BEC-ACB0-D5E3631078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4DDFCB9-B237-4456-B859-7D40854861F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E22-4BEC-ACB0-D5E3631078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D0B715A-33B8-4FC1-973F-BA1379E19A0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E22-4BEC-ACB0-D5E3631078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29DE171-0F36-4A75-9915-B90A1D1FEC4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E22-4BEC-ACB0-D5E3631078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ACDCBCD-D355-46A0-8C32-155CD663853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E22-4BEC-ACB0-D5E3631078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B8E891-2A21-4505-91F0-D2BF783F5AF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E22-4BEC-ACB0-D5E3631078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E6A96BC-5553-4CBC-AF28-236F1A9BB7B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E22-4BEC-ACB0-D5E3631078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58E7449-D89C-4F0B-A266-90B6006232E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E22-4BEC-ACB0-D5E3631078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10D75E4-F7AE-4966-ADA9-5BFF0738D92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E22-4BEC-ACB0-D5E3631078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7CD4A38-985B-4B6F-94B8-F3C684F860F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E22-4BEC-ACB0-D5E3631078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B37781F-EEB3-437C-84AD-0EB3DF91D11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E22-4BEC-ACB0-D5E3631078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6D51C01-F8EF-4905-906A-52D1F82706F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E22-4BEC-ACB0-D5E3631078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BCB011A-6199-4F64-B0A9-2C97EBFC80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E22-4BEC-ACB0-D5E3631078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6DC710-0298-4D09-910B-AA2C3999248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E22-4BEC-ACB0-D5E3631078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87E203B-561E-4AA4-9A78-7BA3C087440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E22-4BEC-ACB0-D5E3631078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847876F-A0EC-42DE-AFC6-DD32E3E02A5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E22-4BEC-ACB0-D5E3631078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D7F34D4-83A7-426D-AEC5-9D350F1E2D2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E22-4BEC-ACB0-D5E3631078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C93E1AD-E290-4470-9C17-9EB948BEABB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E22-4BEC-ACB0-D5E3631078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3299FA-7D60-4796-9509-53C2D786701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E22-4BEC-ACB0-D5E3631078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92D492B-BCB0-474A-BEDD-58DE844F809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E22-4BEC-ACB0-D5E3631078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AFF1215-2003-4561-A8C2-8B4842C668B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E22-4BEC-ACB0-D5E3631078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44087A5-FF79-4505-870A-696DD17253F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E22-4BEC-ACB0-D5E3631078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9D0A3D-0BB4-42D5-A0CF-00ECA63A549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E22-4BEC-ACB0-D5E3631078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EB3218C-218C-40FA-8022-07CC24B7F58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E22-4BEC-ACB0-D5E3631078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E7DB283-66D9-4D8A-87E7-F215A6841B3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E22-4BEC-ACB0-D5E3631078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F9E6830-6DE5-47E2-AEBA-4A6827DCF3F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E22-4BEC-ACB0-D5E3631078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016B89-A86A-46D7-840D-BE50FFD2F8C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E22-4BEC-ACB0-D5E3631078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0155BDB-2F47-41A0-88A4-5843218BF1F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E22-4BEC-ACB0-D5E3631078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52122F-5D29-4F30-A8E8-8CE18831546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E22-4BEC-ACB0-D5E3631078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16ECA4-ED0C-44D9-895A-0FFC09BBD96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E22-4BEC-ACB0-D5E3631078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FEBA244-B91E-44BB-81B2-E3822D4BD46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E22-4BEC-ACB0-D5E3631078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1185880-AE06-49EB-8254-D263FF41182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E22-4BEC-ACB0-D5E3631078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66AE1C9-A794-4DAF-BEDC-BC67AD1CD14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E22-4BEC-ACB0-D5E3631078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896B2F-71CE-4F67-AC69-E3B972F6A4D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E22-4BEC-ACB0-D5E3631078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C4E4109-438A-4045-B3D7-4BD8CA962F9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E22-4BEC-ACB0-D5E3631078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D3AC292-E108-4D8E-AAE9-9DC4DA2723C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E22-4BEC-ACB0-D5E3631078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EC0A5B1-091B-4919-BBD7-11BC990FDB4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E22-4BEC-ACB0-D5E3631078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4F2EE45-1BA6-447F-BEDA-C3C45D27FA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E22-4BEC-ACB0-D5E3631078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AFCD7B4-6129-47B6-BAE0-012A413D4E4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E22-4BEC-ACB0-D5E3631078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F93AD1-50B0-48A3-A5F6-910DF78FEFE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E22-4BEC-ACB0-D5E3631078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09E204D-22C7-4CDD-9E79-5F0F4A6530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E22-4BEC-ACB0-D5E3631078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B58878D-FA44-4C7B-A7B3-7BE094C9DA7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E22-4BEC-ACB0-D5E3631078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9BF686A-B47F-40A6-B4DC-DCDDB7F6788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E22-4BEC-ACB0-D5E3631078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95B593E-7254-4784-A171-C2661FC65A7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E22-4BEC-ACB0-D5E3631078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A5E00C2-00F4-49F2-83E2-70724A9FB81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E22-4BEC-ACB0-D5E3631078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93DDB50-104C-47AE-8F8A-3CB480BEDE1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E22-4BEC-ACB0-D5E3631078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9AB127-C927-461F-9482-667F5342024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E22-4BEC-ACB0-D5E3631078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311677-079F-4DC5-BE16-3980D743F2C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E22-4BEC-ACB0-D5E3631078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F9D4C15-68FA-475E-BC42-27F439734EF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E22-4BEC-ACB0-D5E3631078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8AFA6FA-ABA2-41C3-8EB5-5BE097D6ECD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E22-4BEC-ACB0-D5E3631078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86BF32-990E-4707-A526-8C21E675281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E22-4BEC-ACB0-D5E3631078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633983-9AB7-4EBC-AC49-C8273E7DF4F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E22-4BEC-ACB0-D5E3631078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1CC79E3-7D85-4C13-85BF-0231AAD216D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E22-4BEC-ACB0-D5E3631078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D0A7329-BE9B-4D1C-AE73-524B9C831E8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E22-4BEC-ACB0-D5E3631078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8836407-5EE9-46D5-8FC3-B8BF1FB807A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E22-4BEC-ACB0-D5E3631078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CEB361-C49A-41CD-BEA3-E64A4F2C1B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E22-4BEC-ACB0-D5E3631078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7F06B75-8459-4AE0-8F10-B0E81A8B9A8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E22-4BEC-ACB0-D5E3631078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85CB3DA-74DC-462A-B77D-0734121A9C5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E22-4BEC-ACB0-D5E3631078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4BD6063-E919-4D7A-B559-C02543B6D6D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E22-4BEC-ACB0-D5E3631078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410E382-5617-4F14-B12D-DEA79D63785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E22-4BEC-ACB0-D5E3631078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952CF4B-52AA-4CF1-8ABB-C052749AE9F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E22-4BEC-ACB0-D5E3631078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A7C2F3F-5C41-463B-8BAE-D5344868EC6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E22-4BEC-ACB0-D5E3631078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4209CBD-E2B0-4F46-8114-3A2C334B3D3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E22-4BEC-ACB0-D5E3631078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3DFAF4E-064C-45B6-A838-8DC249842A5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E22-4BEC-ACB0-D5E3631078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BB0DF5B-2DFF-4CE6-964A-33D0E52CCDF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E22-4BEC-ACB0-D5E3631078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B92E97-1ECA-43F7-A731-D23B78A85C7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E22-4BEC-ACB0-D5E3631078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EFB8F99-0829-41C9-A6EB-17AA12203C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E22-4BEC-ACB0-D5E3631078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307A36-A7A3-4503-846A-C9146FCDADC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E22-4BEC-ACB0-D5E3631078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44D9264-EC83-4E12-BCFD-527C9B38042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E22-4BEC-ACB0-D5E3631078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DCD922-4797-40FE-A4EE-DB19CF4283F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E22-4BEC-ACB0-D5E36310785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CFAC24F-50C8-4F3B-A57F-198E90E73B1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E22-4BEC-ACB0-D5E36310785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2280B01-0438-4733-B7A6-88E2281E341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E22-4BEC-ACB0-D5E36310785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3826B4E-A8C9-4EE7-9BD0-850CEF6E466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E22-4BEC-ACB0-D5E36310785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71BFBCC-18BE-464C-B780-835F74229F7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E22-4BEC-ACB0-D5E36310785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B15463-B667-4783-BC10-E700DD67E25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E22-4BEC-ACB0-D5E36310785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60B0F40-C599-49EB-92AB-9534E27BC3A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E22-4BEC-ACB0-D5E36310785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80A759E-0074-4A36-BB4A-D2FE334DF52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E22-4BEC-ACB0-D5E36310785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0EE18C1-E43E-4B1D-9948-ED0C695B370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E22-4BEC-ACB0-D5E36310785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0533445-2539-4209-966A-403FCA5AF1C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E22-4BEC-ACB0-D5E36310785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A5661B6-348C-4C9E-BB43-B65ACBFBC96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E22-4BEC-ACB0-D5E36310785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D9FCFDE-228D-4F5F-82D4-21275AD792E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E22-4BEC-ACB0-D5E36310785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3C7BF1F-4EFF-434F-8820-62E61960B3E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E22-4BEC-ACB0-D5E36310785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C69F73A-03DE-494D-BDA6-43964BC5FA0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E22-4BEC-ACB0-D5E36310785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2A673D7-8115-4309-87A7-4513136C34A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E22-4BEC-ACB0-D5E36310785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D90765A-3C1A-4F7A-8F0A-4EDCF1C0C5E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E22-4BEC-ACB0-D5E36310785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9240F1-14E3-437E-A953-8A3C0541BE9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E22-4BEC-ACB0-D5E36310785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CFC6914-C88E-491B-9CA0-9142ADED335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E22-4BEC-ACB0-D5E36310785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96DEA27-DE12-4B9C-A576-3733DB15F77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E22-4BEC-ACB0-D5E36310785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81F40E-2CCA-4C7D-9DB9-9E599090AB6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E22-4BEC-ACB0-D5E36310785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FF2317A-38CA-4148-8356-F6B5927A65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E22-4BEC-ACB0-D5E36310785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350A595-5C54-4D2F-9DB8-6C13D2C256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E22-4BEC-ACB0-D5E36310785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170C204-68F4-4500-B311-B3087A3F9B6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E22-4BEC-ACB0-D5E36310785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3B55797-C528-48D0-BE30-7CC92C2112D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E22-4BEC-ACB0-D5E36310785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71506E7-1CBF-4B65-BD74-12F3696D97B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E22-4BEC-ACB0-D5E36310785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A749A2-10FF-4E7F-BD00-B0F82B711C2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E22-4BEC-ACB0-D5E36310785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72CC2F5-D0F3-427C-BC2D-E88BBE2E859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E22-4BEC-ACB0-D5E36310785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F5646E5-B9DF-4DAF-B760-0D6944E92E1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E22-4BEC-ACB0-D5E36310785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fld id="{B6A0816C-C102-444C-ADB1-6AEB36E4DB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E22-4BEC-ACB0-D5E36310785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fld id="{71E4C65C-B231-4BF8-BED0-33C93B6AE8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E22-4BEC-ACB0-D5E36310785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fld id="{D16F71C2-FF1F-4C27-83CB-2AB5C0A9B42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E22-4BEC-ACB0-D5E36310785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fld id="{7ECB8E5D-3CA3-4576-BB00-8DD3CFC659A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E22-4BEC-ACB0-D5E36310785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fld id="{C8105806-38C4-4F77-BDF6-84106EA53C8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E22-4BEC-ACB0-D5E36310785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fld id="{8C57A8AE-FA49-42E4-8DC9-7D5FB402EE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E22-4BEC-ACB0-D5E36310785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fld id="{30CA0685-D1DF-425D-AD3F-7C1E1F8CFA9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E22-4BEC-ACB0-D5E36310785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fld id="{B642DD76-A330-43C7-B661-BED52E0209A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E22-4BEC-ACB0-D5E36310785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fld id="{2E2A1410-9FD3-4BC0-ABD2-9C1A954D897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E22-4BEC-ACB0-D5E36310785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fld id="{BE66E21C-84BF-41B2-810C-102F08114F0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E22-4BEC-ACB0-D5E36310785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fld id="{E8955E38-940D-4DFC-8C40-D1650B48486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E22-4BEC-ACB0-D5E36310785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fld id="{2703F7F6-F771-4D91-8071-9093776335D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E22-4BEC-ACB0-D5E36310785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fld id="{9EE10D78-BBF7-4FF9-BC38-5E7C3EAEF96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E22-4BEC-ACB0-D5E36310785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fld id="{2278E779-3684-4C90-AE64-AB5BDE0BB9A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E22-4BEC-ACB0-D5E36310785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fld id="{ADF257F0-2586-4313-B068-3E8EBA6884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E22-4BEC-ACB0-D5E36310785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fld id="{35A739F8-E3BD-4B30-86D4-106C999928E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E22-4BEC-ACB0-D5E36310785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fld id="{46D468E0-F9F4-45D6-86C6-CDE0E169B8D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E22-4BEC-ACB0-D5E36310785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fld id="{E74FD134-E643-4EE9-9766-6C831D25275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E22-4BEC-ACB0-D5E36310785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fld id="{BFCB9D2C-0F2F-4D35-94D3-FCE5B220B47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E22-4BEC-ACB0-D5E36310785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fld id="{B8690EAD-3707-4A2D-A911-E98D239C256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E22-4BEC-ACB0-D5E36310785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fld id="{1BD54B06-1D13-40B4-AD6C-B2541CB9154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E22-4BEC-ACB0-D5E36310785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fld id="{41970EDB-9AE9-4786-9F9A-B3AA85D0F59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E22-4BEC-ACB0-D5E36310785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fld id="{71BEDF68-EA5F-44AD-8C48-A6544772C2D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E22-4BEC-ACB0-D5E36310785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fld id="{F49148AD-1A75-4B5C-8060-3DD5284A54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E22-4BEC-ACB0-D5E36310785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fld id="{EA15E329-7D80-4A19-BA0E-4376404A339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E22-4BEC-ACB0-D5E36310785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fld id="{505E293D-2E8A-4090-92C5-60DFDFE7E19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E22-4BEC-ACB0-D5E36310785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fld id="{CA9655AA-6993-48DE-9BCD-060BB694CEC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E22-4BEC-ACB0-D5E36310785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fld id="{717CEF89-97FF-42D6-B181-8D143AD9313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E22-4BEC-ACB0-D5E36310785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fld id="{676C1D7D-2674-4B81-B786-724E2F3CD98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E22-4BEC-ACB0-D5E36310785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fld id="{D4FC8E61-6AE0-4D5A-9204-012D6C6B3D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E22-4BEC-ACB0-D5E36310785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fld id="{5634A0DB-656C-4954-B91E-C35D407F82C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E22-4BEC-ACB0-D5E36310785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fld id="{95723F3B-415F-4892-ACED-7EA1488BBE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E22-4BEC-ACB0-D5E36310785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fld id="{AC2F363B-1F07-413F-863C-7D4DD0EB7D7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E22-4BEC-ACB0-D5E36310785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fld id="{9F425FFF-BAFD-4E46-B36C-787B742D98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E22-4BEC-ACB0-D5E36310785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fld id="{C88CCD42-91B6-4CE1-ABAF-A8C13E15EA9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E22-4BEC-ACB0-D5E36310785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fld id="{DDC84C75-21E4-4AAB-9020-E2E8587B6C8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E22-4BEC-ACB0-D5E36310785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fld id="{A4ABF561-4601-4B05-9B18-343BCA1C763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E22-4BEC-ACB0-D5E36310785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fld id="{94C9362C-CB7C-49A4-B6D6-F4E3ED6D610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E22-4BEC-ACB0-D5E36310785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fld id="{BD01B8AA-C9F0-41DC-9263-7DD1ACA2BF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E22-4BEC-ACB0-D5E36310785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fld id="{91501F10-5435-4B25-863E-E252BCAF34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E22-4BEC-ACB0-D5E36310785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fld id="{2A1439D2-4EF4-4E57-A7DF-371360DAC90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E22-4BEC-ACB0-D5E36310785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fld id="{C7BA01E4-5336-4B48-AF67-B6F3F9EB0B7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E22-4BEC-ACB0-D5E36310785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fld id="{289987FB-A7C5-4238-B1C4-C56ECB47E51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E22-4BEC-ACB0-D5E36310785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fld id="{4D70BDB7-27CB-4D9B-AD8D-26DA9EFE31F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E22-4BEC-ACB0-D5E36310785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fld id="{49A17016-9BD1-4EEC-B655-B1D76FE4987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E22-4BEC-ACB0-D5E36310785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fld id="{A4D63485-F176-4B4D-935F-1DC7A392199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E22-4BEC-ACB0-D5E36310785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fld id="{3DAD3D07-ECA7-44D8-BA8B-A6B7CE8A6C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E22-4BEC-ACB0-D5E36310785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fld id="{73337632-A7F1-4056-A20C-ED99EB61C72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E22-4BEC-ACB0-D5E36310785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fld id="{F9D9F7E6-9BE7-47DE-ACC1-A6964B70FD2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E22-4BEC-ACB0-D5E36310785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fld id="{D0E1879E-0C18-4A2F-AC94-7DE7B9A7B1B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E22-4BEC-ACB0-D5E36310785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fld id="{8683AAE0-6BA0-46BE-9EAB-1FFF001DB67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E22-4BEC-ACB0-D5E36310785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fld id="{5165DB78-314C-4088-B7A2-4C2269471F9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E22-4BEC-ACB0-D5E36310785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fld id="{42E71DFF-9B08-411E-8D4F-9E3B339DDBF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E22-4BEC-ACB0-D5E36310785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fld id="{7010A438-EDD6-4474-AC6A-22A8FFE1F62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E22-4BEC-ACB0-D5E36310785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fld id="{DDCEF006-02BE-407C-B32A-65C8376F58B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E22-4BEC-ACB0-D5E36310785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fld id="{87FD6853-458E-40FB-8738-B6484D2BBF2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E22-4BEC-ACB0-D5E36310785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fld id="{E3706F7D-FF3D-4F7F-A0C4-8EA649C843B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E22-4BEC-ACB0-D5E36310785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fld id="{442C5AC9-34C5-4B7E-A4B7-5F3B264991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E22-4BEC-ACB0-D5E36310785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fld id="{E7FBFB58-5049-4F1E-9BB0-A8E524868FF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E22-4BEC-ACB0-D5E36310785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fld id="{ECFDB8A5-CD0A-4426-9589-8988B11DE58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E22-4BEC-ACB0-D5E36310785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fld id="{9C77F9E3-6E69-4E59-AD35-1970EAAE9E1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E22-4BEC-ACB0-D5E36310785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fld id="{47DB177E-737D-4FCF-BE07-F082CF6D4A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E22-4BEC-ACB0-D5E36310785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fld id="{22F58712-67AE-4118-BACC-A3EBEB8B979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E22-4BEC-ACB0-D5E36310785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fld id="{10ADFB74-24CC-4E48-A27B-DEDD9CBBE96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E22-4BEC-ACB0-D5E36310785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fld id="{D8F268F8-8AF6-4015-AD33-36B9C44A770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E22-4BEC-ACB0-D5E36310785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fld id="{3CB7083F-3C45-4F17-BA6B-E59754B76A0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E22-4BEC-ACB0-D5E36310785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fld id="{BB435D3E-75A3-4C6C-913F-A5A2B4880EC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E22-4BEC-ACB0-D5E36310785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fld id="{2ACC5D7F-CB38-4BCF-A1DE-3E51FEFC921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E22-4BEC-ACB0-D5E36310785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fld id="{E0456B93-975A-47DA-9C72-FF4AE5D7F75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E22-4BEC-ACB0-D5E36310785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fld id="{A41C6FD9-BB02-49D6-B271-7625BFC646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E22-4BEC-ACB0-D5E36310785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fld id="{29E2FC2F-51A4-43DD-B366-CD2BAC2FE92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E22-4BEC-ACB0-D5E36310785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fld id="{2AAD0514-9D61-43E0-99E7-5C0EEF14EEA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E22-4BEC-ACB0-D5E36310785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fld id="{AEDFAEEC-E7DB-4A19-A948-B225A5B99BC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E22-4BEC-ACB0-D5E36310785A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fld id="{2A53CCFB-D776-4A91-9D8D-2B97CB5DB5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E22-4BEC-ACB0-D5E36310785A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fld id="{6AA1CDDF-8289-44E1-B638-979413EED3F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CE22-4BEC-ACB0-D5E36310785A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fld id="{8A2F4BE1-A7AF-47E8-8568-17A3F5A1B66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CE22-4BEC-ACB0-D5E36310785A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fld id="{DF386F06-42B5-4F92-8B98-A77CE8ED3CF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CE22-4BEC-ACB0-D5E36310785A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fld id="{BED6D893-9986-4CBB-83A0-9028AE4E682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CE22-4BEC-ACB0-D5E36310785A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fld id="{82A1400A-43A1-4633-BF6C-7D7B11FFA95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CE22-4BEC-ACB0-D5E36310785A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fld id="{0F838910-5EE1-4B06-9B3D-C28A54B2886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CE22-4BEC-ACB0-D5E36310785A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fld id="{E437AC88-247C-444A-ACA2-6D5DC7BD403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CE22-4BEC-ACB0-D5E36310785A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fld id="{89A8280E-E9C5-4077-8120-A083479E2AE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CE22-4BEC-ACB0-D5E36310785A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fld id="{EDD39E41-BBB0-4D01-9A07-C1351216774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CE22-4BEC-ACB0-D5E36310785A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fld id="{6B9A9D74-3D9E-42D6-BD2B-73075FF2DF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CE22-4BEC-ACB0-D5E36310785A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fld id="{8016DCD4-450E-4A5B-A94A-42DF8BA3AA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CE22-4BEC-ACB0-D5E36310785A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fld id="{F4B067AF-3786-4D3D-A338-BDF1196EF03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CE22-4BEC-ACB0-D5E36310785A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fld id="{B2F059A7-F90B-4D18-BA84-D7EDB93C2B7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CE22-4BEC-ACB0-D5E36310785A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fld id="{C66BC172-1648-4543-BF4A-A15E4DEE119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CE22-4BEC-ACB0-D5E36310785A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fld id="{39B4CF09-7A1D-48F7-BE77-862F4046C73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CE22-4BEC-ACB0-D5E36310785A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fld id="{0315B3C8-8C0A-410D-B885-55ACFCBB216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CE22-4BEC-ACB0-D5E36310785A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fld id="{23B2AA70-0643-4DF3-8CCD-01A158A5C1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CE22-4BEC-ACB0-D5E36310785A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fld id="{F5EA8F49-211B-4AC3-9EDF-4E7D758A04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CE22-4BEC-ACB0-D5E36310785A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fld id="{7EC49931-230C-4031-862E-2C82018F8D4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CE22-4BEC-ACB0-D5E36310785A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fld id="{3928DCE6-56AE-4817-BDA8-5D70D33204D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CE22-4BEC-ACB0-D5E36310785A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fld id="{6624F29B-656E-4BE6-B70D-90626F604E1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CE22-4BEC-ACB0-D5E36310785A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fld id="{62B4D43B-7B1B-4891-9759-94F3BB53C11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CE22-4BEC-ACB0-D5E36310785A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fld id="{7A4568FE-85F5-4A5A-8B02-B9009376001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CE22-4BEC-ACB0-D5E36310785A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fld id="{600876CF-52C6-4E36-9BF1-A806745BA17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CE22-4BEC-ACB0-D5E36310785A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fld id="{04215418-3F8C-4841-8101-A03635771B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CE22-4BEC-ACB0-D5E36310785A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fld id="{DCFA11BF-0D65-4547-A342-21A77AD34AD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CE22-4BEC-ACB0-D5E36310785A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fld id="{E1066D63-8892-4E04-B167-BDA13157F9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CE22-4BEC-ACB0-D5E36310785A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fld id="{DC6525A8-D702-4D17-94C1-889BC9312C6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CE22-4BEC-ACB0-D5E36310785A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fld id="{C441BA12-45DA-47D7-A5E3-25B9F400BC2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CE22-4BEC-ACB0-D5E36310785A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fld id="{CB6E0E19-723F-4FF0-9BFE-4E5DDF8ED94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CE22-4BEC-ACB0-D5E36310785A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fld id="{04BB0AEA-5C78-4669-8200-79266ABB2E6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CE22-4BEC-ACB0-D5E36310785A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fld id="{679E7249-9830-4082-B705-18BAD185136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CE22-4BEC-ACB0-D5E36310785A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fld id="{FC383B86-2E7F-44F2-899C-0FD7F5C50EB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CE22-4BEC-ACB0-D5E36310785A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fld id="{09E16AF6-8D94-4D83-BDD2-0FDA8EFA644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CE22-4BEC-ACB0-D5E36310785A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fld id="{D64B9ABB-206C-4525-A53A-519CBD72313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CE22-4BEC-ACB0-D5E36310785A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fld id="{18FB6D03-00B6-4A8D-BDE3-162A9475D92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CE22-4BEC-ACB0-D5E36310785A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fld id="{5EB77841-0F26-417E-B468-623BDB60514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CE22-4BEC-ACB0-D5E36310785A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fld id="{A5DC80BB-B4CC-4DED-9F3F-3F9C607B66A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CE22-4BEC-ACB0-D5E36310785A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fld id="{12949A6C-333D-40F2-9B09-97CBC65BDAE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CE22-4BEC-ACB0-D5E36310785A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fld id="{CF8581FD-999B-4063-8EB1-635B138B62F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CE22-4BEC-ACB0-D5E36310785A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fld id="{BA47AA78-FC5A-4584-9EB5-935217BF70C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CE22-4BEC-ACB0-D5E36310785A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fld id="{86B52E32-B67F-454C-AF42-C171BDA11D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CE22-4BEC-ACB0-D5E36310785A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fld id="{12176C64-6484-4EE1-A5F9-2F6D4C1A653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CE22-4BEC-ACB0-D5E36310785A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fld id="{EDD4BC76-4799-4133-8118-B7C4EE902F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CE22-4BEC-ACB0-D5E36310785A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fld id="{569D4BB5-0302-43B7-B854-80570A4AE33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CE22-4BEC-ACB0-D5E36310785A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fld id="{FB7301D6-E254-4AB7-B624-7CD820BEDFD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CE22-4BEC-ACB0-D5E36310785A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fld id="{9646F6DA-A7EA-47DE-A9AA-11C6DABA121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CE22-4BEC-ACB0-D5E36310785A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fld id="{57EE9560-5B96-4EAD-A5DA-1E1871DA184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CE22-4BEC-ACB0-D5E36310785A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fld id="{CD884FEA-E250-416A-96B2-0DC3809AA62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CE22-4BEC-ACB0-D5E36310785A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fld id="{433AF702-12A8-4F9D-8658-EAB47F09FB3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CE22-4BEC-ACB0-D5E36310785A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fld id="{3410B003-BBBF-4700-AAB5-A76A3BF72EB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CE22-4BEC-ACB0-D5E36310785A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fld id="{6C3480D9-D299-40B1-98F9-2D364713D06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CE22-4BEC-ACB0-D5E36310785A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fld id="{D5C3F103-D94B-4629-9864-3EEB2CC4136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CE22-4BEC-ACB0-D5E36310785A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fld id="{F61A0A41-768B-4F1C-9F3A-34F51957950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CE22-4BEC-ACB0-D5E36310785A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fld id="{2186B4D3-76F6-457C-89B8-994A8DBF10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CE22-4BEC-ACB0-D5E36310785A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fld id="{7ED24B3B-D0D4-4FD2-8F1A-122C91B42C7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CE22-4BEC-ACB0-D5E36310785A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fld id="{C511EB4D-CF68-42CD-A6CE-8DE853D8E9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CE22-4BEC-ACB0-D5E36310785A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fld id="{54A12102-C47D-4B80-9931-1A727182FA3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CE22-4BEC-ACB0-D5E36310785A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fld id="{9066AAFC-7A9E-492A-A142-B1555C927EB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CE22-4BEC-ACB0-D5E36310785A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fld id="{4C087AFF-E8DD-48A4-975F-C43D9D530AF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CE22-4BEC-ACB0-D5E36310785A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fld id="{233EAEFC-0408-4DEE-8D5B-9BA175DC44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CE22-4BEC-ACB0-D5E36310785A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fld id="{585375A8-7EF9-4C50-9731-B6E4977DF5F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CE22-4BEC-ACB0-D5E36310785A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fld id="{D2DCF7EF-FB5F-4205-A712-920D64C41DC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CE22-4BEC-ACB0-D5E36310785A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fld id="{1359B4B5-E557-4EC6-8E93-E41A5A4E766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CE22-4BEC-ACB0-D5E36310785A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fld id="{2F93C2EB-C04A-4DA9-A025-4D634155862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CE22-4BEC-ACB0-D5E36310785A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fld id="{E2B89D23-86EF-425F-BEC7-DC447DE8A95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CE22-4BEC-ACB0-D5E36310785A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fld id="{A49C23D4-9D38-4B08-A138-2885BC449BC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CE22-4BEC-ACB0-D5E36310785A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fld id="{4BC3ABF2-D09B-4A65-8110-767AC3EFA79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CE22-4BEC-ACB0-D5E36310785A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fld id="{514CF376-898F-4625-B099-22A119B591A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CE22-4BEC-ACB0-D5E36310785A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fld id="{4CE0D3EC-764A-468D-9404-7D07A820CA8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CE22-4BEC-ACB0-D5E36310785A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fld id="{2255DB25-1D5F-441A-9910-A6C8054CC53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CE22-4BEC-ACB0-D5E36310785A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fld id="{0838F8F6-534B-43F8-B59C-9415A1665B4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CE22-4BEC-ACB0-D5E36310785A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fld id="{72BB0569-32E2-41F4-9012-6F72F96162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CE22-4BEC-ACB0-D5E36310785A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fld id="{E3BE87C8-3BFE-4E78-929F-DAB1A4FD6B8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CE22-4BEC-ACB0-D5E36310785A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fld id="{E9A52EE5-1DD7-49F3-9AD5-06F8660358A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CE22-4BEC-ACB0-D5E36310785A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fld id="{539862E5-8155-4EF7-912C-848B2D1FEA2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CE22-4BEC-ACB0-D5E36310785A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fld id="{2272E252-584D-4BD5-BD63-E691D84FF99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CE22-4BEC-ACB0-D5E36310785A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fld id="{D496F656-5BC8-47D4-9FFD-DACB5078B6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CE22-4BEC-ACB0-D5E36310785A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fld id="{4F4498BB-092C-4913-AAEC-6422783394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CE22-4BEC-ACB0-D5E36310785A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fld id="{033206B6-4238-47C7-93E2-BA2BBA1A4E2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CE22-4BEC-ACB0-D5E36310785A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fld id="{FBCB038C-E82B-474F-9F4F-C062534B338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CE22-4BEC-ACB0-D5E36310785A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fld id="{3FBEC8D9-8D36-452A-AB99-E9E54AD4B02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CE22-4BEC-ACB0-D5E36310785A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fld id="{9B0C81C6-1A6D-4FEE-8D07-C46669EDF14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CE22-4BEC-ACB0-D5E36310785A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fld id="{DF9ECAA2-BC22-4AE5-98BE-829269EF788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CE22-4BEC-ACB0-D5E36310785A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fld id="{97963C30-B610-41E3-9A19-800B90CF31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CE22-4BEC-ACB0-D5E36310785A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fld id="{129A5049-196B-4300-BEE0-F6A2C30A13F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CE22-4BEC-ACB0-D5E36310785A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fld id="{7FDDD2D5-ECDB-468E-99EC-12DC22D0175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CE22-4BEC-ACB0-D5E36310785A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fld id="{B3645C3D-5B30-46FA-90F6-03598BB023B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CE22-4BEC-ACB0-D5E36310785A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fld id="{E620AFE3-1929-4E5E-96EF-8552EE574F5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CE22-4BEC-ACB0-D5E36310785A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fld id="{CD911DE2-1CBE-4DE7-BA60-C6320FCBDBE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CE22-4BEC-ACB0-D5E36310785A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fld id="{38D94FBC-8A7E-4812-AE33-DB89F4C9F71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CE22-4BEC-ACB0-D5E36310785A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fld id="{CDFA4235-FDAE-4828-8DA1-7FDA0DAB875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CE22-4BEC-ACB0-D5E36310785A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fld id="{65B019DE-803B-4E15-A3E3-4A83578478D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CE22-4BEC-ACB0-D5E36310785A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fld id="{990AD269-F9E9-4D9E-8923-2D5D515C428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CE22-4BEC-ACB0-D5E36310785A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fld id="{6322957A-D3B8-499E-973B-7DD5C0C3305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CE22-4BEC-ACB0-D5E36310785A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fld id="{ECAAB4E7-4B16-4E5D-9413-3DE8C904512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CE22-4BEC-ACB0-D5E36310785A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fld id="{AD8B319C-0F93-4785-9BEA-2DF315C227B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CE22-4BEC-ACB0-D5E36310785A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fld id="{D7AE7FEB-0C33-485F-A84B-B232FEDFAA8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CE22-4BEC-ACB0-D5E36310785A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fld id="{16150E00-20AE-4CD5-89F6-0922F7938B6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CE22-4BEC-ACB0-D5E36310785A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fld id="{6C066745-3FE3-4AA2-A6C4-D5B90EA5521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CE22-4BEC-ACB0-D5E36310785A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fld id="{B3C9C85B-62EE-4742-A224-99DBF0F4E31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CE22-4BEC-ACB0-D5E36310785A}"/>
                </c:ext>
              </c:extLst>
            </c:dLbl>
            <c:dLbl>
              <c:idx val="401"/>
              <c:tx>
                <c:rich>
                  <a:bodyPr/>
                  <a:lstStyle/>
                  <a:p>
                    <a:fld id="{C2ADC39E-2765-4F23-8B83-014A684E1E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CE22-4BEC-ACB0-D5E36310785A}"/>
                </c:ext>
              </c:extLst>
            </c:dLbl>
            <c:dLbl>
              <c:idx val="402"/>
              <c:tx>
                <c:rich>
                  <a:bodyPr/>
                  <a:lstStyle/>
                  <a:p>
                    <a:fld id="{1849FCA7-A828-4461-BFF2-DAAD3B8ACA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CE22-4BEC-ACB0-D5E36310785A}"/>
                </c:ext>
              </c:extLst>
            </c:dLbl>
            <c:dLbl>
              <c:idx val="403"/>
              <c:tx>
                <c:rich>
                  <a:bodyPr/>
                  <a:lstStyle/>
                  <a:p>
                    <a:fld id="{2ADF7E7F-E27C-4967-ABC3-ED6233CD02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CE22-4BEC-ACB0-D5E36310785A}"/>
                </c:ext>
              </c:extLst>
            </c:dLbl>
            <c:dLbl>
              <c:idx val="404"/>
              <c:tx>
                <c:rich>
                  <a:bodyPr/>
                  <a:lstStyle/>
                  <a:p>
                    <a:fld id="{1C58587B-1395-4546-96A5-24523530540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CE22-4BEC-ACB0-D5E36310785A}"/>
                </c:ext>
              </c:extLst>
            </c:dLbl>
            <c:dLbl>
              <c:idx val="405"/>
              <c:tx>
                <c:rich>
                  <a:bodyPr/>
                  <a:lstStyle/>
                  <a:p>
                    <a:fld id="{5FE7FBB5-6FD5-4CF3-AA35-02FBEEB899F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CE22-4BEC-ACB0-D5E36310785A}"/>
                </c:ext>
              </c:extLst>
            </c:dLbl>
            <c:dLbl>
              <c:idx val="406"/>
              <c:tx>
                <c:rich>
                  <a:bodyPr/>
                  <a:lstStyle/>
                  <a:p>
                    <a:fld id="{7B88783F-4A5B-4006-8C8A-4252B5E1DAB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CE22-4BEC-ACB0-D5E36310785A}"/>
                </c:ext>
              </c:extLst>
            </c:dLbl>
            <c:dLbl>
              <c:idx val="407"/>
              <c:tx>
                <c:rich>
                  <a:bodyPr/>
                  <a:lstStyle/>
                  <a:p>
                    <a:fld id="{D2B6967D-2F33-4870-BEA8-B1B81612DAC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CE22-4BEC-ACB0-D5E36310785A}"/>
                </c:ext>
              </c:extLst>
            </c:dLbl>
            <c:dLbl>
              <c:idx val="408"/>
              <c:tx>
                <c:rich>
                  <a:bodyPr/>
                  <a:lstStyle/>
                  <a:p>
                    <a:fld id="{AC88C667-5853-43AF-A6DE-2FE5EBE3923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CE22-4BEC-ACB0-D5E36310785A}"/>
                </c:ext>
              </c:extLst>
            </c:dLbl>
            <c:dLbl>
              <c:idx val="409"/>
              <c:tx>
                <c:rich>
                  <a:bodyPr/>
                  <a:lstStyle/>
                  <a:p>
                    <a:fld id="{6485C15F-010B-43E1-8166-6DCC87595C4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CE22-4BEC-ACB0-D5E36310785A}"/>
                </c:ext>
              </c:extLst>
            </c:dLbl>
            <c:dLbl>
              <c:idx val="410"/>
              <c:tx>
                <c:rich>
                  <a:bodyPr/>
                  <a:lstStyle/>
                  <a:p>
                    <a:fld id="{13DA6662-6934-47FB-9BE1-6D576BCA4C3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CE22-4BEC-ACB0-D5E36310785A}"/>
                </c:ext>
              </c:extLst>
            </c:dLbl>
            <c:dLbl>
              <c:idx val="411"/>
              <c:tx>
                <c:rich>
                  <a:bodyPr/>
                  <a:lstStyle/>
                  <a:p>
                    <a:fld id="{97BB4D8C-885E-4E0B-B432-E2431908D88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CE22-4BEC-ACB0-D5E36310785A}"/>
                </c:ext>
              </c:extLst>
            </c:dLbl>
            <c:dLbl>
              <c:idx val="412"/>
              <c:tx>
                <c:rich>
                  <a:bodyPr/>
                  <a:lstStyle/>
                  <a:p>
                    <a:fld id="{116F9417-5AA3-4B9A-B8FD-6CF39474D8F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CE22-4BEC-ACB0-D5E36310785A}"/>
                </c:ext>
              </c:extLst>
            </c:dLbl>
            <c:dLbl>
              <c:idx val="413"/>
              <c:tx>
                <c:rich>
                  <a:bodyPr/>
                  <a:lstStyle/>
                  <a:p>
                    <a:fld id="{60C67A1C-5CA1-45CA-8675-B1B99242FE0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CE22-4BEC-ACB0-D5E36310785A}"/>
                </c:ext>
              </c:extLst>
            </c:dLbl>
            <c:dLbl>
              <c:idx val="414"/>
              <c:tx>
                <c:rich>
                  <a:bodyPr/>
                  <a:lstStyle/>
                  <a:p>
                    <a:fld id="{1A5833FA-25D4-4E46-9B8A-115ECEDC479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CE22-4BEC-ACB0-D5E36310785A}"/>
                </c:ext>
              </c:extLst>
            </c:dLbl>
            <c:dLbl>
              <c:idx val="415"/>
              <c:tx>
                <c:rich>
                  <a:bodyPr/>
                  <a:lstStyle/>
                  <a:p>
                    <a:fld id="{B2AF9809-1E91-4E71-9659-97D58B5E7A1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CE22-4BEC-ACB0-D5E36310785A}"/>
                </c:ext>
              </c:extLst>
            </c:dLbl>
            <c:dLbl>
              <c:idx val="416"/>
              <c:tx>
                <c:rich>
                  <a:bodyPr/>
                  <a:lstStyle/>
                  <a:p>
                    <a:fld id="{F42B30B4-2BAA-4A94-8B26-28D8A804A48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CE22-4BEC-ACB0-D5E36310785A}"/>
                </c:ext>
              </c:extLst>
            </c:dLbl>
            <c:dLbl>
              <c:idx val="417"/>
              <c:tx>
                <c:rich>
                  <a:bodyPr/>
                  <a:lstStyle/>
                  <a:p>
                    <a:fld id="{2E5C9BAB-DC6A-481C-913B-071FC50F45E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CE22-4BEC-ACB0-D5E36310785A}"/>
                </c:ext>
              </c:extLst>
            </c:dLbl>
            <c:dLbl>
              <c:idx val="418"/>
              <c:tx>
                <c:rich>
                  <a:bodyPr/>
                  <a:lstStyle/>
                  <a:p>
                    <a:fld id="{58235F8F-9E5E-4253-9438-5536924A0B0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CE22-4BEC-ACB0-D5E36310785A}"/>
                </c:ext>
              </c:extLst>
            </c:dLbl>
            <c:dLbl>
              <c:idx val="419"/>
              <c:tx>
                <c:rich>
                  <a:bodyPr/>
                  <a:lstStyle/>
                  <a:p>
                    <a:fld id="{9560046D-A742-49D6-AF98-6690F11C379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CE22-4BEC-ACB0-D5E36310785A}"/>
                </c:ext>
              </c:extLst>
            </c:dLbl>
            <c:dLbl>
              <c:idx val="420"/>
              <c:tx>
                <c:rich>
                  <a:bodyPr/>
                  <a:lstStyle/>
                  <a:p>
                    <a:fld id="{E6D59DB2-F073-4C31-B743-BCCF0ECAF1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CE22-4BEC-ACB0-D5E36310785A}"/>
                </c:ext>
              </c:extLst>
            </c:dLbl>
            <c:dLbl>
              <c:idx val="421"/>
              <c:tx>
                <c:rich>
                  <a:bodyPr/>
                  <a:lstStyle/>
                  <a:p>
                    <a:fld id="{390C6707-7750-4EE9-BB25-FA7F2340E1D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CE22-4BEC-ACB0-D5E36310785A}"/>
                </c:ext>
              </c:extLst>
            </c:dLbl>
            <c:dLbl>
              <c:idx val="422"/>
              <c:tx>
                <c:rich>
                  <a:bodyPr/>
                  <a:lstStyle/>
                  <a:p>
                    <a:fld id="{71D50879-92AA-43B0-869A-66F1D4DB117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CE22-4BEC-ACB0-D5E36310785A}"/>
                </c:ext>
              </c:extLst>
            </c:dLbl>
            <c:dLbl>
              <c:idx val="423"/>
              <c:tx>
                <c:rich>
                  <a:bodyPr/>
                  <a:lstStyle/>
                  <a:p>
                    <a:fld id="{48C82446-C8F6-4FC5-9A18-6BA7966E01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CE22-4BEC-ACB0-D5E36310785A}"/>
                </c:ext>
              </c:extLst>
            </c:dLbl>
            <c:dLbl>
              <c:idx val="424"/>
              <c:tx>
                <c:rich>
                  <a:bodyPr/>
                  <a:lstStyle/>
                  <a:p>
                    <a:fld id="{39257657-F651-4361-8EF5-F2F62366BD2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CE22-4BEC-ACB0-D5E36310785A}"/>
                </c:ext>
              </c:extLst>
            </c:dLbl>
            <c:dLbl>
              <c:idx val="425"/>
              <c:tx>
                <c:rich>
                  <a:bodyPr/>
                  <a:lstStyle/>
                  <a:p>
                    <a:fld id="{00E880E7-F2D6-438E-8E4F-387B7B32752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CE22-4BEC-ACB0-D5E36310785A}"/>
                </c:ext>
              </c:extLst>
            </c:dLbl>
            <c:dLbl>
              <c:idx val="426"/>
              <c:tx>
                <c:rich>
                  <a:bodyPr/>
                  <a:lstStyle/>
                  <a:p>
                    <a:fld id="{9423A71A-6169-4E24-BBCE-B57DF0E36F7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CE22-4BEC-ACB0-D5E36310785A}"/>
                </c:ext>
              </c:extLst>
            </c:dLbl>
            <c:dLbl>
              <c:idx val="427"/>
              <c:tx>
                <c:rich>
                  <a:bodyPr/>
                  <a:lstStyle/>
                  <a:p>
                    <a:fld id="{F827187C-3426-4FC9-B5EE-CFAA400F5F0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CE22-4BEC-ACB0-D5E36310785A}"/>
                </c:ext>
              </c:extLst>
            </c:dLbl>
            <c:dLbl>
              <c:idx val="428"/>
              <c:tx>
                <c:rich>
                  <a:bodyPr/>
                  <a:lstStyle/>
                  <a:p>
                    <a:fld id="{82926D3E-65CA-4FEA-B3AB-80A20520C23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CE22-4BEC-ACB0-D5E36310785A}"/>
                </c:ext>
              </c:extLst>
            </c:dLbl>
            <c:dLbl>
              <c:idx val="429"/>
              <c:tx>
                <c:rich>
                  <a:bodyPr/>
                  <a:lstStyle/>
                  <a:p>
                    <a:fld id="{528B7B0A-2B01-438B-85B8-D3184752A54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CE22-4BEC-ACB0-D5E36310785A}"/>
                </c:ext>
              </c:extLst>
            </c:dLbl>
            <c:dLbl>
              <c:idx val="430"/>
              <c:tx>
                <c:rich>
                  <a:bodyPr/>
                  <a:lstStyle/>
                  <a:p>
                    <a:fld id="{CACDE9A0-D74F-4D2C-A21B-86D13DF7A35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CE22-4BEC-ACB0-D5E36310785A}"/>
                </c:ext>
              </c:extLst>
            </c:dLbl>
            <c:dLbl>
              <c:idx val="431"/>
              <c:tx>
                <c:rich>
                  <a:bodyPr/>
                  <a:lstStyle/>
                  <a:p>
                    <a:fld id="{D0FAC8B6-22AB-4AEF-8869-8ACCCDB4BBA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CE22-4BEC-ACB0-D5E36310785A}"/>
                </c:ext>
              </c:extLst>
            </c:dLbl>
            <c:dLbl>
              <c:idx val="432"/>
              <c:tx>
                <c:rich>
                  <a:bodyPr/>
                  <a:lstStyle/>
                  <a:p>
                    <a:fld id="{FBE53ED0-B7A2-4CBD-B8A4-51B913A8358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CE22-4BEC-ACB0-D5E36310785A}"/>
                </c:ext>
              </c:extLst>
            </c:dLbl>
            <c:dLbl>
              <c:idx val="433"/>
              <c:tx>
                <c:rich>
                  <a:bodyPr/>
                  <a:lstStyle/>
                  <a:p>
                    <a:fld id="{84362DB5-067F-4EE7-A9FB-68B7D8054E6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CE22-4BEC-ACB0-D5E36310785A}"/>
                </c:ext>
              </c:extLst>
            </c:dLbl>
            <c:dLbl>
              <c:idx val="434"/>
              <c:tx>
                <c:rich>
                  <a:bodyPr/>
                  <a:lstStyle/>
                  <a:p>
                    <a:fld id="{E18BAAF4-41BB-46EB-8D55-FEF89E589F2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CE22-4BEC-ACB0-D5E36310785A}"/>
                </c:ext>
              </c:extLst>
            </c:dLbl>
            <c:dLbl>
              <c:idx val="435"/>
              <c:tx>
                <c:rich>
                  <a:bodyPr/>
                  <a:lstStyle/>
                  <a:p>
                    <a:fld id="{58D4ECA0-087D-4A45-BE24-6792A2A2E00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CE22-4BEC-ACB0-D5E36310785A}"/>
                </c:ext>
              </c:extLst>
            </c:dLbl>
            <c:dLbl>
              <c:idx val="436"/>
              <c:tx>
                <c:rich>
                  <a:bodyPr/>
                  <a:lstStyle/>
                  <a:p>
                    <a:fld id="{7F2BB28F-323D-4816-B6A0-2EF429AF2AC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CE22-4BEC-ACB0-D5E36310785A}"/>
                </c:ext>
              </c:extLst>
            </c:dLbl>
            <c:dLbl>
              <c:idx val="437"/>
              <c:tx>
                <c:rich>
                  <a:bodyPr/>
                  <a:lstStyle/>
                  <a:p>
                    <a:fld id="{E413FFD8-0382-4737-B088-9C14B24C4DC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CE22-4BEC-ACB0-D5E36310785A}"/>
                </c:ext>
              </c:extLst>
            </c:dLbl>
            <c:dLbl>
              <c:idx val="438"/>
              <c:tx>
                <c:rich>
                  <a:bodyPr/>
                  <a:lstStyle/>
                  <a:p>
                    <a:fld id="{B655EE71-3B4D-4648-95BF-B605C7A5BD8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CE22-4BEC-ACB0-D5E36310785A}"/>
                </c:ext>
              </c:extLst>
            </c:dLbl>
            <c:dLbl>
              <c:idx val="439"/>
              <c:tx>
                <c:rich>
                  <a:bodyPr/>
                  <a:lstStyle/>
                  <a:p>
                    <a:fld id="{E7BF611E-4AA9-42FA-9C03-31D9400DAF3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CE22-4BEC-ACB0-D5E36310785A}"/>
                </c:ext>
              </c:extLst>
            </c:dLbl>
            <c:dLbl>
              <c:idx val="440"/>
              <c:tx>
                <c:rich>
                  <a:bodyPr/>
                  <a:lstStyle/>
                  <a:p>
                    <a:fld id="{655F545F-31E2-4243-820A-53AD115B2AA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CE22-4BEC-ACB0-D5E3631078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Paths!$AB$1:$AB$441</c:f>
              <c:numCache>
                <c:formatCode>General</c:formatCode>
                <c:ptCount val="44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  <c:pt idx="21">
                  <c:v>-10</c:v>
                </c:pt>
                <c:pt idx="22">
                  <c:v>-9</c:v>
                </c:pt>
                <c:pt idx="23">
                  <c:v>-8</c:v>
                </c:pt>
                <c:pt idx="24">
                  <c:v>-7</c:v>
                </c:pt>
                <c:pt idx="25">
                  <c:v>-6</c:v>
                </c:pt>
                <c:pt idx="26">
                  <c:v>-5</c:v>
                </c:pt>
                <c:pt idx="27">
                  <c:v>-4</c:v>
                </c:pt>
                <c:pt idx="28">
                  <c:v>-3</c:v>
                </c:pt>
                <c:pt idx="29">
                  <c:v>-2</c:v>
                </c:pt>
                <c:pt idx="30">
                  <c:v>-1</c:v>
                </c:pt>
                <c:pt idx="31">
                  <c:v>0</c:v>
                </c:pt>
                <c:pt idx="32">
                  <c:v>1</c:v>
                </c:pt>
                <c:pt idx="33">
                  <c:v>2</c:v>
                </c:pt>
                <c:pt idx="34">
                  <c:v>3</c:v>
                </c:pt>
                <c:pt idx="35">
                  <c:v>4</c:v>
                </c:pt>
                <c:pt idx="36">
                  <c:v>5</c:v>
                </c:pt>
                <c:pt idx="37">
                  <c:v>6</c:v>
                </c:pt>
                <c:pt idx="38">
                  <c:v>7</c:v>
                </c:pt>
                <c:pt idx="39">
                  <c:v>8</c:v>
                </c:pt>
                <c:pt idx="40">
                  <c:v>9</c:v>
                </c:pt>
                <c:pt idx="41">
                  <c:v>10</c:v>
                </c:pt>
                <c:pt idx="42">
                  <c:v>-10</c:v>
                </c:pt>
                <c:pt idx="43">
                  <c:v>-9</c:v>
                </c:pt>
                <c:pt idx="44">
                  <c:v>-8</c:v>
                </c:pt>
                <c:pt idx="45">
                  <c:v>-7</c:v>
                </c:pt>
                <c:pt idx="46">
                  <c:v>-6</c:v>
                </c:pt>
                <c:pt idx="47">
                  <c:v>-5</c:v>
                </c:pt>
                <c:pt idx="48">
                  <c:v>-4</c:v>
                </c:pt>
                <c:pt idx="49">
                  <c:v>-3</c:v>
                </c:pt>
                <c:pt idx="50">
                  <c:v>-2</c:v>
                </c:pt>
                <c:pt idx="51">
                  <c:v>-1</c:v>
                </c:pt>
                <c:pt idx="52">
                  <c:v>0</c:v>
                </c:pt>
                <c:pt idx="53">
                  <c:v>1</c:v>
                </c:pt>
                <c:pt idx="54">
                  <c:v>2</c:v>
                </c:pt>
                <c:pt idx="55">
                  <c:v>3</c:v>
                </c:pt>
                <c:pt idx="56">
                  <c:v>4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-10</c:v>
                </c:pt>
                <c:pt idx="64">
                  <c:v>-9</c:v>
                </c:pt>
                <c:pt idx="65">
                  <c:v>-8</c:v>
                </c:pt>
                <c:pt idx="66">
                  <c:v>-7</c:v>
                </c:pt>
                <c:pt idx="67">
                  <c:v>-6</c:v>
                </c:pt>
                <c:pt idx="68">
                  <c:v>-5</c:v>
                </c:pt>
                <c:pt idx="69">
                  <c:v>-4</c:v>
                </c:pt>
                <c:pt idx="70">
                  <c:v>-3</c:v>
                </c:pt>
                <c:pt idx="71">
                  <c:v>-2</c:v>
                </c:pt>
                <c:pt idx="72">
                  <c:v>-1</c:v>
                </c:pt>
                <c:pt idx="73">
                  <c:v>0</c:v>
                </c:pt>
                <c:pt idx="74">
                  <c:v>1</c:v>
                </c:pt>
                <c:pt idx="75">
                  <c:v>2</c:v>
                </c:pt>
                <c:pt idx="76">
                  <c:v>3</c:v>
                </c:pt>
                <c:pt idx="77">
                  <c:v>4</c:v>
                </c:pt>
                <c:pt idx="78">
                  <c:v>5</c:v>
                </c:pt>
                <c:pt idx="79">
                  <c:v>6</c:v>
                </c:pt>
                <c:pt idx="80">
                  <c:v>7</c:v>
                </c:pt>
                <c:pt idx="81">
                  <c:v>8</c:v>
                </c:pt>
                <c:pt idx="82">
                  <c:v>9</c:v>
                </c:pt>
                <c:pt idx="83">
                  <c:v>10</c:v>
                </c:pt>
                <c:pt idx="84">
                  <c:v>-10</c:v>
                </c:pt>
                <c:pt idx="85">
                  <c:v>-9</c:v>
                </c:pt>
                <c:pt idx="86">
                  <c:v>-8</c:v>
                </c:pt>
                <c:pt idx="87">
                  <c:v>-7</c:v>
                </c:pt>
                <c:pt idx="88">
                  <c:v>-6</c:v>
                </c:pt>
                <c:pt idx="89">
                  <c:v>-5</c:v>
                </c:pt>
                <c:pt idx="90">
                  <c:v>-4</c:v>
                </c:pt>
                <c:pt idx="91">
                  <c:v>-3</c:v>
                </c:pt>
                <c:pt idx="92">
                  <c:v>-2</c:v>
                </c:pt>
                <c:pt idx="93">
                  <c:v>-1</c:v>
                </c:pt>
                <c:pt idx="94">
                  <c:v>0</c:v>
                </c:pt>
                <c:pt idx="95">
                  <c:v>1</c:v>
                </c:pt>
                <c:pt idx="96">
                  <c:v>2</c:v>
                </c:pt>
                <c:pt idx="97">
                  <c:v>3</c:v>
                </c:pt>
                <c:pt idx="98">
                  <c:v>4</c:v>
                </c:pt>
                <c:pt idx="99">
                  <c:v>5</c:v>
                </c:pt>
                <c:pt idx="100">
                  <c:v>6</c:v>
                </c:pt>
                <c:pt idx="101">
                  <c:v>7</c:v>
                </c:pt>
                <c:pt idx="102">
                  <c:v>8</c:v>
                </c:pt>
                <c:pt idx="103">
                  <c:v>9</c:v>
                </c:pt>
                <c:pt idx="104">
                  <c:v>10</c:v>
                </c:pt>
                <c:pt idx="105">
                  <c:v>-10</c:v>
                </c:pt>
                <c:pt idx="106">
                  <c:v>-9</c:v>
                </c:pt>
                <c:pt idx="107">
                  <c:v>-8</c:v>
                </c:pt>
                <c:pt idx="108">
                  <c:v>-7</c:v>
                </c:pt>
                <c:pt idx="109">
                  <c:v>-6</c:v>
                </c:pt>
                <c:pt idx="110">
                  <c:v>-5</c:v>
                </c:pt>
                <c:pt idx="111">
                  <c:v>-4</c:v>
                </c:pt>
                <c:pt idx="112">
                  <c:v>-3</c:v>
                </c:pt>
                <c:pt idx="113">
                  <c:v>-2</c:v>
                </c:pt>
                <c:pt idx="114">
                  <c:v>-1</c:v>
                </c:pt>
                <c:pt idx="115">
                  <c:v>0</c:v>
                </c:pt>
                <c:pt idx="116">
                  <c:v>1</c:v>
                </c:pt>
                <c:pt idx="117">
                  <c:v>2</c:v>
                </c:pt>
                <c:pt idx="118">
                  <c:v>3</c:v>
                </c:pt>
                <c:pt idx="119">
                  <c:v>4</c:v>
                </c:pt>
                <c:pt idx="120">
                  <c:v>5</c:v>
                </c:pt>
                <c:pt idx="121">
                  <c:v>6</c:v>
                </c:pt>
                <c:pt idx="122">
                  <c:v>7</c:v>
                </c:pt>
                <c:pt idx="123">
                  <c:v>8</c:v>
                </c:pt>
                <c:pt idx="124">
                  <c:v>9</c:v>
                </c:pt>
                <c:pt idx="125">
                  <c:v>10</c:v>
                </c:pt>
                <c:pt idx="126">
                  <c:v>-10</c:v>
                </c:pt>
                <c:pt idx="127">
                  <c:v>-9</c:v>
                </c:pt>
                <c:pt idx="128">
                  <c:v>-8</c:v>
                </c:pt>
                <c:pt idx="129">
                  <c:v>-7</c:v>
                </c:pt>
                <c:pt idx="130">
                  <c:v>-6</c:v>
                </c:pt>
                <c:pt idx="131">
                  <c:v>-5</c:v>
                </c:pt>
                <c:pt idx="132">
                  <c:v>-4</c:v>
                </c:pt>
                <c:pt idx="133">
                  <c:v>-3</c:v>
                </c:pt>
                <c:pt idx="134">
                  <c:v>-2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2</c:v>
                </c:pt>
                <c:pt idx="139">
                  <c:v>3</c:v>
                </c:pt>
                <c:pt idx="140">
                  <c:v>4</c:v>
                </c:pt>
                <c:pt idx="141">
                  <c:v>5</c:v>
                </c:pt>
                <c:pt idx="142">
                  <c:v>6</c:v>
                </c:pt>
                <c:pt idx="143">
                  <c:v>7</c:v>
                </c:pt>
                <c:pt idx="144">
                  <c:v>8</c:v>
                </c:pt>
                <c:pt idx="145">
                  <c:v>9</c:v>
                </c:pt>
                <c:pt idx="146">
                  <c:v>10</c:v>
                </c:pt>
                <c:pt idx="147">
                  <c:v>-10</c:v>
                </c:pt>
                <c:pt idx="148">
                  <c:v>-9</c:v>
                </c:pt>
                <c:pt idx="149">
                  <c:v>-8</c:v>
                </c:pt>
                <c:pt idx="150">
                  <c:v>-7</c:v>
                </c:pt>
                <c:pt idx="151">
                  <c:v>-6</c:v>
                </c:pt>
                <c:pt idx="152">
                  <c:v>-5</c:v>
                </c:pt>
                <c:pt idx="153">
                  <c:v>-4</c:v>
                </c:pt>
                <c:pt idx="154">
                  <c:v>-3</c:v>
                </c:pt>
                <c:pt idx="155">
                  <c:v>-2</c:v>
                </c:pt>
                <c:pt idx="156">
                  <c:v>-1</c:v>
                </c:pt>
                <c:pt idx="157">
                  <c:v>0</c:v>
                </c:pt>
                <c:pt idx="158">
                  <c:v>1</c:v>
                </c:pt>
                <c:pt idx="159">
                  <c:v>2</c:v>
                </c:pt>
                <c:pt idx="160">
                  <c:v>3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7</c:v>
                </c:pt>
                <c:pt idx="165">
                  <c:v>8</c:v>
                </c:pt>
                <c:pt idx="166">
                  <c:v>9</c:v>
                </c:pt>
                <c:pt idx="167">
                  <c:v>10</c:v>
                </c:pt>
                <c:pt idx="168">
                  <c:v>-10</c:v>
                </c:pt>
                <c:pt idx="169">
                  <c:v>-9</c:v>
                </c:pt>
                <c:pt idx="170">
                  <c:v>-8</c:v>
                </c:pt>
                <c:pt idx="171">
                  <c:v>-7</c:v>
                </c:pt>
                <c:pt idx="172">
                  <c:v>-6</c:v>
                </c:pt>
                <c:pt idx="173">
                  <c:v>-5</c:v>
                </c:pt>
                <c:pt idx="174">
                  <c:v>-4</c:v>
                </c:pt>
                <c:pt idx="175">
                  <c:v>-3</c:v>
                </c:pt>
                <c:pt idx="176">
                  <c:v>-2</c:v>
                </c:pt>
                <c:pt idx="177">
                  <c:v>-1</c:v>
                </c:pt>
                <c:pt idx="178">
                  <c:v>0</c:v>
                </c:pt>
                <c:pt idx="179">
                  <c:v>1</c:v>
                </c:pt>
                <c:pt idx="180">
                  <c:v>2</c:v>
                </c:pt>
                <c:pt idx="181">
                  <c:v>3</c:v>
                </c:pt>
                <c:pt idx="182">
                  <c:v>4</c:v>
                </c:pt>
                <c:pt idx="183">
                  <c:v>5</c:v>
                </c:pt>
                <c:pt idx="184">
                  <c:v>6</c:v>
                </c:pt>
                <c:pt idx="185">
                  <c:v>7</c:v>
                </c:pt>
                <c:pt idx="186">
                  <c:v>8</c:v>
                </c:pt>
                <c:pt idx="187">
                  <c:v>9</c:v>
                </c:pt>
                <c:pt idx="188">
                  <c:v>10</c:v>
                </c:pt>
                <c:pt idx="189">
                  <c:v>-10</c:v>
                </c:pt>
                <c:pt idx="190">
                  <c:v>-9</c:v>
                </c:pt>
                <c:pt idx="191">
                  <c:v>-8</c:v>
                </c:pt>
                <c:pt idx="192">
                  <c:v>-7</c:v>
                </c:pt>
                <c:pt idx="193">
                  <c:v>-6</c:v>
                </c:pt>
                <c:pt idx="194">
                  <c:v>-5</c:v>
                </c:pt>
                <c:pt idx="195">
                  <c:v>-4</c:v>
                </c:pt>
                <c:pt idx="196">
                  <c:v>-3</c:v>
                </c:pt>
                <c:pt idx="197">
                  <c:v>-2</c:v>
                </c:pt>
                <c:pt idx="198">
                  <c:v>-1</c:v>
                </c:pt>
                <c:pt idx="199">
                  <c:v>0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6</c:v>
                </c:pt>
                <c:pt idx="206">
                  <c:v>7</c:v>
                </c:pt>
                <c:pt idx="207">
                  <c:v>8</c:v>
                </c:pt>
                <c:pt idx="208">
                  <c:v>9</c:v>
                </c:pt>
                <c:pt idx="209">
                  <c:v>10</c:v>
                </c:pt>
                <c:pt idx="210">
                  <c:v>-10</c:v>
                </c:pt>
                <c:pt idx="211">
                  <c:v>-9</c:v>
                </c:pt>
                <c:pt idx="212">
                  <c:v>-8</c:v>
                </c:pt>
                <c:pt idx="213">
                  <c:v>-7</c:v>
                </c:pt>
                <c:pt idx="214">
                  <c:v>-6</c:v>
                </c:pt>
                <c:pt idx="215">
                  <c:v>-5</c:v>
                </c:pt>
                <c:pt idx="216">
                  <c:v>-4</c:v>
                </c:pt>
                <c:pt idx="217">
                  <c:v>-3</c:v>
                </c:pt>
                <c:pt idx="218">
                  <c:v>-2</c:v>
                </c:pt>
                <c:pt idx="219">
                  <c:v>-1</c:v>
                </c:pt>
                <c:pt idx="220">
                  <c:v>0</c:v>
                </c:pt>
                <c:pt idx="221">
                  <c:v>1</c:v>
                </c:pt>
                <c:pt idx="222">
                  <c:v>2</c:v>
                </c:pt>
                <c:pt idx="223">
                  <c:v>3</c:v>
                </c:pt>
                <c:pt idx="224">
                  <c:v>4</c:v>
                </c:pt>
                <c:pt idx="225">
                  <c:v>5</c:v>
                </c:pt>
                <c:pt idx="226">
                  <c:v>6</c:v>
                </c:pt>
                <c:pt idx="227">
                  <c:v>7</c:v>
                </c:pt>
                <c:pt idx="228">
                  <c:v>8</c:v>
                </c:pt>
                <c:pt idx="229">
                  <c:v>9</c:v>
                </c:pt>
                <c:pt idx="230">
                  <c:v>10</c:v>
                </c:pt>
                <c:pt idx="231">
                  <c:v>-10</c:v>
                </c:pt>
                <c:pt idx="232">
                  <c:v>-9</c:v>
                </c:pt>
                <c:pt idx="233">
                  <c:v>-8</c:v>
                </c:pt>
                <c:pt idx="234">
                  <c:v>-7</c:v>
                </c:pt>
                <c:pt idx="235">
                  <c:v>-6</c:v>
                </c:pt>
                <c:pt idx="236">
                  <c:v>-5</c:v>
                </c:pt>
                <c:pt idx="237">
                  <c:v>-4</c:v>
                </c:pt>
                <c:pt idx="238">
                  <c:v>-3</c:v>
                </c:pt>
                <c:pt idx="239">
                  <c:v>-2</c:v>
                </c:pt>
                <c:pt idx="240">
                  <c:v>-1</c:v>
                </c:pt>
                <c:pt idx="241">
                  <c:v>0</c:v>
                </c:pt>
                <c:pt idx="242">
                  <c:v>1</c:v>
                </c:pt>
                <c:pt idx="243">
                  <c:v>2</c:v>
                </c:pt>
                <c:pt idx="244">
                  <c:v>3</c:v>
                </c:pt>
                <c:pt idx="245">
                  <c:v>4</c:v>
                </c:pt>
                <c:pt idx="246">
                  <c:v>5</c:v>
                </c:pt>
                <c:pt idx="247">
                  <c:v>6</c:v>
                </c:pt>
                <c:pt idx="248">
                  <c:v>7</c:v>
                </c:pt>
                <c:pt idx="249">
                  <c:v>8</c:v>
                </c:pt>
                <c:pt idx="250">
                  <c:v>9</c:v>
                </c:pt>
                <c:pt idx="251">
                  <c:v>10</c:v>
                </c:pt>
                <c:pt idx="252">
                  <c:v>-10</c:v>
                </c:pt>
                <c:pt idx="253">
                  <c:v>-9</c:v>
                </c:pt>
                <c:pt idx="254">
                  <c:v>-8</c:v>
                </c:pt>
                <c:pt idx="255">
                  <c:v>-7</c:v>
                </c:pt>
                <c:pt idx="256">
                  <c:v>-6</c:v>
                </c:pt>
                <c:pt idx="257">
                  <c:v>-5</c:v>
                </c:pt>
                <c:pt idx="258">
                  <c:v>-4</c:v>
                </c:pt>
                <c:pt idx="259">
                  <c:v>-3</c:v>
                </c:pt>
                <c:pt idx="260">
                  <c:v>-2</c:v>
                </c:pt>
                <c:pt idx="261">
                  <c:v>-1</c:v>
                </c:pt>
                <c:pt idx="262">
                  <c:v>0</c:v>
                </c:pt>
                <c:pt idx="263">
                  <c:v>1</c:v>
                </c:pt>
                <c:pt idx="264">
                  <c:v>2</c:v>
                </c:pt>
                <c:pt idx="265">
                  <c:v>3</c:v>
                </c:pt>
                <c:pt idx="266">
                  <c:v>4</c:v>
                </c:pt>
                <c:pt idx="267">
                  <c:v>5</c:v>
                </c:pt>
                <c:pt idx="268">
                  <c:v>6</c:v>
                </c:pt>
                <c:pt idx="269">
                  <c:v>7</c:v>
                </c:pt>
                <c:pt idx="270">
                  <c:v>8</c:v>
                </c:pt>
                <c:pt idx="271">
                  <c:v>9</c:v>
                </c:pt>
                <c:pt idx="272">
                  <c:v>10</c:v>
                </c:pt>
                <c:pt idx="273">
                  <c:v>-10</c:v>
                </c:pt>
                <c:pt idx="274">
                  <c:v>-9</c:v>
                </c:pt>
                <c:pt idx="275">
                  <c:v>-8</c:v>
                </c:pt>
                <c:pt idx="276">
                  <c:v>-7</c:v>
                </c:pt>
                <c:pt idx="277">
                  <c:v>-6</c:v>
                </c:pt>
                <c:pt idx="278">
                  <c:v>-5</c:v>
                </c:pt>
                <c:pt idx="279">
                  <c:v>-4</c:v>
                </c:pt>
                <c:pt idx="280">
                  <c:v>-3</c:v>
                </c:pt>
                <c:pt idx="281">
                  <c:v>-2</c:v>
                </c:pt>
                <c:pt idx="282">
                  <c:v>-1</c:v>
                </c:pt>
                <c:pt idx="283">
                  <c:v>0</c:v>
                </c:pt>
                <c:pt idx="284">
                  <c:v>1</c:v>
                </c:pt>
                <c:pt idx="285">
                  <c:v>2</c:v>
                </c:pt>
                <c:pt idx="286">
                  <c:v>3</c:v>
                </c:pt>
                <c:pt idx="287">
                  <c:v>4</c:v>
                </c:pt>
                <c:pt idx="288">
                  <c:v>5</c:v>
                </c:pt>
                <c:pt idx="289">
                  <c:v>6</c:v>
                </c:pt>
                <c:pt idx="290">
                  <c:v>7</c:v>
                </c:pt>
                <c:pt idx="291">
                  <c:v>8</c:v>
                </c:pt>
                <c:pt idx="292">
                  <c:v>9</c:v>
                </c:pt>
                <c:pt idx="293">
                  <c:v>10</c:v>
                </c:pt>
                <c:pt idx="294">
                  <c:v>-10</c:v>
                </c:pt>
                <c:pt idx="295">
                  <c:v>-9</c:v>
                </c:pt>
                <c:pt idx="296">
                  <c:v>-8</c:v>
                </c:pt>
                <c:pt idx="297">
                  <c:v>-7</c:v>
                </c:pt>
                <c:pt idx="298">
                  <c:v>-6</c:v>
                </c:pt>
                <c:pt idx="299">
                  <c:v>-5</c:v>
                </c:pt>
                <c:pt idx="300">
                  <c:v>-4</c:v>
                </c:pt>
                <c:pt idx="301">
                  <c:v>-3</c:v>
                </c:pt>
                <c:pt idx="302">
                  <c:v>-2</c:v>
                </c:pt>
                <c:pt idx="303">
                  <c:v>-1</c:v>
                </c:pt>
                <c:pt idx="304">
                  <c:v>0</c:v>
                </c:pt>
                <c:pt idx="305">
                  <c:v>1</c:v>
                </c:pt>
                <c:pt idx="306">
                  <c:v>2</c:v>
                </c:pt>
                <c:pt idx="307">
                  <c:v>3</c:v>
                </c:pt>
                <c:pt idx="308">
                  <c:v>4</c:v>
                </c:pt>
                <c:pt idx="309">
                  <c:v>5</c:v>
                </c:pt>
                <c:pt idx="310">
                  <c:v>6</c:v>
                </c:pt>
                <c:pt idx="311">
                  <c:v>7</c:v>
                </c:pt>
                <c:pt idx="312">
                  <c:v>8</c:v>
                </c:pt>
                <c:pt idx="313">
                  <c:v>9</c:v>
                </c:pt>
                <c:pt idx="314">
                  <c:v>10</c:v>
                </c:pt>
                <c:pt idx="315">
                  <c:v>-10</c:v>
                </c:pt>
                <c:pt idx="316">
                  <c:v>-9</c:v>
                </c:pt>
                <c:pt idx="317">
                  <c:v>-8</c:v>
                </c:pt>
                <c:pt idx="318">
                  <c:v>-7</c:v>
                </c:pt>
                <c:pt idx="319">
                  <c:v>-6</c:v>
                </c:pt>
                <c:pt idx="320">
                  <c:v>-5</c:v>
                </c:pt>
                <c:pt idx="321">
                  <c:v>-4</c:v>
                </c:pt>
                <c:pt idx="322">
                  <c:v>-3</c:v>
                </c:pt>
                <c:pt idx="323">
                  <c:v>-2</c:v>
                </c:pt>
                <c:pt idx="324">
                  <c:v>-1</c:v>
                </c:pt>
                <c:pt idx="325">
                  <c:v>0</c:v>
                </c:pt>
                <c:pt idx="326">
                  <c:v>1</c:v>
                </c:pt>
                <c:pt idx="327">
                  <c:v>2</c:v>
                </c:pt>
                <c:pt idx="328">
                  <c:v>3</c:v>
                </c:pt>
                <c:pt idx="329">
                  <c:v>4</c:v>
                </c:pt>
                <c:pt idx="330">
                  <c:v>5</c:v>
                </c:pt>
                <c:pt idx="331">
                  <c:v>6</c:v>
                </c:pt>
                <c:pt idx="332">
                  <c:v>7</c:v>
                </c:pt>
                <c:pt idx="333">
                  <c:v>8</c:v>
                </c:pt>
                <c:pt idx="334">
                  <c:v>9</c:v>
                </c:pt>
                <c:pt idx="335">
                  <c:v>10</c:v>
                </c:pt>
                <c:pt idx="336">
                  <c:v>-10</c:v>
                </c:pt>
                <c:pt idx="337">
                  <c:v>-9</c:v>
                </c:pt>
                <c:pt idx="338">
                  <c:v>-8</c:v>
                </c:pt>
                <c:pt idx="339">
                  <c:v>-7</c:v>
                </c:pt>
                <c:pt idx="340">
                  <c:v>-6</c:v>
                </c:pt>
                <c:pt idx="341">
                  <c:v>-5</c:v>
                </c:pt>
                <c:pt idx="342">
                  <c:v>-4</c:v>
                </c:pt>
                <c:pt idx="343">
                  <c:v>-3</c:v>
                </c:pt>
                <c:pt idx="344">
                  <c:v>-2</c:v>
                </c:pt>
                <c:pt idx="345">
                  <c:v>-1</c:v>
                </c:pt>
                <c:pt idx="346">
                  <c:v>0</c:v>
                </c:pt>
                <c:pt idx="347">
                  <c:v>1</c:v>
                </c:pt>
                <c:pt idx="348">
                  <c:v>2</c:v>
                </c:pt>
                <c:pt idx="349">
                  <c:v>3</c:v>
                </c:pt>
                <c:pt idx="350">
                  <c:v>4</c:v>
                </c:pt>
                <c:pt idx="351">
                  <c:v>5</c:v>
                </c:pt>
                <c:pt idx="352">
                  <c:v>6</c:v>
                </c:pt>
                <c:pt idx="353">
                  <c:v>7</c:v>
                </c:pt>
                <c:pt idx="354">
                  <c:v>8</c:v>
                </c:pt>
                <c:pt idx="355">
                  <c:v>9</c:v>
                </c:pt>
                <c:pt idx="356">
                  <c:v>10</c:v>
                </c:pt>
                <c:pt idx="357">
                  <c:v>-10</c:v>
                </c:pt>
                <c:pt idx="358">
                  <c:v>-9</c:v>
                </c:pt>
                <c:pt idx="359">
                  <c:v>-8</c:v>
                </c:pt>
                <c:pt idx="360">
                  <c:v>-7</c:v>
                </c:pt>
                <c:pt idx="361">
                  <c:v>-6</c:v>
                </c:pt>
                <c:pt idx="362">
                  <c:v>-5</c:v>
                </c:pt>
                <c:pt idx="363">
                  <c:v>-4</c:v>
                </c:pt>
                <c:pt idx="364">
                  <c:v>-3</c:v>
                </c:pt>
                <c:pt idx="365">
                  <c:v>-2</c:v>
                </c:pt>
                <c:pt idx="366">
                  <c:v>-1</c:v>
                </c:pt>
                <c:pt idx="367">
                  <c:v>0</c:v>
                </c:pt>
                <c:pt idx="368">
                  <c:v>1</c:v>
                </c:pt>
                <c:pt idx="369">
                  <c:v>2</c:v>
                </c:pt>
                <c:pt idx="370">
                  <c:v>3</c:v>
                </c:pt>
                <c:pt idx="371">
                  <c:v>4</c:v>
                </c:pt>
                <c:pt idx="372">
                  <c:v>5</c:v>
                </c:pt>
                <c:pt idx="373">
                  <c:v>6</c:v>
                </c:pt>
                <c:pt idx="374">
                  <c:v>7</c:v>
                </c:pt>
                <c:pt idx="375">
                  <c:v>8</c:v>
                </c:pt>
                <c:pt idx="376">
                  <c:v>9</c:v>
                </c:pt>
                <c:pt idx="377">
                  <c:v>10</c:v>
                </c:pt>
                <c:pt idx="378">
                  <c:v>-10</c:v>
                </c:pt>
                <c:pt idx="379">
                  <c:v>-9</c:v>
                </c:pt>
                <c:pt idx="380">
                  <c:v>-8</c:v>
                </c:pt>
                <c:pt idx="381">
                  <c:v>-7</c:v>
                </c:pt>
                <c:pt idx="382">
                  <c:v>-6</c:v>
                </c:pt>
                <c:pt idx="383">
                  <c:v>-5</c:v>
                </c:pt>
                <c:pt idx="384">
                  <c:v>-4</c:v>
                </c:pt>
                <c:pt idx="385">
                  <c:v>-3</c:v>
                </c:pt>
                <c:pt idx="386">
                  <c:v>-2</c:v>
                </c:pt>
                <c:pt idx="387">
                  <c:v>-1</c:v>
                </c:pt>
                <c:pt idx="388">
                  <c:v>0</c:v>
                </c:pt>
                <c:pt idx="389">
                  <c:v>1</c:v>
                </c:pt>
                <c:pt idx="390">
                  <c:v>2</c:v>
                </c:pt>
                <c:pt idx="391">
                  <c:v>3</c:v>
                </c:pt>
                <c:pt idx="392">
                  <c:v>4</c:v>
                </c:pt>
                <c:pt idx="393">
                  <c:v>5</c:v>
                </c:pt>
                <c:pt idx="394">
                  <c:v>6</c:v>
                </c:pt>
                <c:pt idx="395">
                  <c:v>7</c:v>
                </c:pt>
                <c:pt idx="396">
                  <c:v>8</c:v>
                </c:pt>
                <c:pt idx="397">
                  <c:v>9</c:v>
                </c:pt>
                <c:pt idx="398">
                  <c:v>10</c:v>
                </c:pt>
                <c:pt idx="399">
                  <c:v>-10</c:v>
                </c:pt>
                <c:pt idx="400">
                  <c:v>-9</c:v>
                </c:pt>
                <c:pt idx="401">
                  <c:v>-8</c:v>
                </c:pt>
                <c:pt idx="402">
                  <c:v>-7</c:v>
                </c:pt>
                <c:pt idx="403">
                  <c:v>-6</c:v>
                </c:pt>
                <c:pt idx="404">
                  <c:v>-5</c:v>
                </c:pt>
                <c:pt idx="405">
                  <c:v>-4</c:v>
                </c:pt>
                <c:pt idx="406">
                  <c:v>-3</c:v>
                </c:pt>
                <c:pt idx="407">
                  <c:v>-2</c:v>
                </c:pt>
                <c:pt idx="408">
                  <c:v>-1</c:v>
                </c:pt>
                <c:pt idx="409">
                  <c:v>0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4</c:v>
                </c:pt>
                <c:pt idx="414">
                  <c:v>5</c:v>
                </c:pt>
                <c:pt idx="415">
                  <c:v>6</c:v>
                </c:pt>
                <c:pt idx="416">
                  <c:v>7</c:v>
                </c:pt>
                <c:pt idx="417">
                  <c:v>8</c:v>
                </c:pt>
                <c:pt idx="418">
                  <c:v>9</c:v>
                </c:pt>
                <c:pt idx="419">
                  <c:v>10</c:v>
                </c:pt>
                <c:pt idx="420">
                  <c:v>-10</c:v>
                </c:pt>
                <c:pt idx="421">
                  <c:v>-9</c:v>
                </c:pt>
                <c:pt idx="422">
                  <c:v>-8</c:v>
                </c:pt>
                <c:pt idx="423">
                  <c:v>-7</c:v>
                </c:pt>
                <c:pt idx="424">
                  <c:v>-6</c:v>
                </c:pt>
                <c:pt idx="425">
                  <c:v>-5</c:v>
                </c:pt>
                <c:pt idx="426">
                  <c:v>-4</c:v>
                </c:pt>
                <c:pt idx="427">
                  <c:v>-3</c:v>
                </c:pt>
                <c:pt idx="428">
                  <c:v>-2</c:v>
                </c:pt>
                <c:pt idx="429">
                  <c:v>-1</c:v>
                </c:pt>
                <c:pt idx="430">
                  <c:v>0</c:v>
                </c:pt>
                <c:pt idx="431">
                  <c:v>1</c:v>
                </c:pt>
                <c:pt idx="432">
                  <c:v>2</c:v>
                </c:pt>
                <c:pt idx="433">
                  <c:v>3</c:v>
                </c:pt>
                <c:pt idx="434">
                  <c:v>4</c:v>
                </c:pt>
                <c:pt idx="435">
                  <c:v>5</c:v>
                </c:pt>
                <c:pt idx="436">
                  <c:v>6</c:v>
                </c:pt>
                <c:pt idx="437">
                  <c:v>7</c:v>
                </c:pt>
                <c:pt idx="438">
                  <c:v>8</c:v>
                </c:pt>
                <c:pt idx="439">
                  <c:v>9</c:v>
                </c:pt>
                <c:pt idx="440">
                  <c:v>10</c:v>
                </c:pt>
              </c:numCache>
            </c:numRef>
          </c:xVal>
          <c:yVal>
            <c:numRef>
              <c:f>Paths!$AA$1:$AA$441</c:f>
              <c:numCache>
                <c:formatCode>General</c:formatCode>
                <c:ptCount val="44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-9</c:v>
                </c:pt>
                <c:pt idx="22">
                  <c:v>-9</c:v>
                </c:pt>
                <c:pt idx="23">
                  <c:v>-9</c:v>
                </c:pt>
                <c:pt idx="24">
                  <c:v>-9</c:v>
                </c:pt>
                <c:pt idx="25">
                  <c:v>-9</c:v>
                </c:pt>
                <c:pt idx="26">
                  <c:v>-9</c:v>
                </c:pt>
                <c:pt idx="27">
                  <c:v>-9</c:v>
                </c:pt>
                <c:pt idx="28">
                  <c:v>-9</c:v>
                </c:pt>
                <c:pt idx="29">
                  <c:v>-9</c:v>
                </c:pt>
                <c:pt idx="30">
                  <c:v>-9</c:v>
                </c:pt>
                <c:pt idx="31">
                  <c:v>-9</c:v>
                </c:pt>
                <c:pt idx="32">
                  <c:v>-9</c:v>
                </c:pt>
                <c:pt idx="33">
                  <c:v>-9</c:v>
                </c:pt>
                <c:pt idx="34">
                  <c:v>-9</c:v>
                </c:pt>
                <c:pt idx="35">
                  <c:v>-9</c:v>
                </c:pt>
                <c:pt idx="36">
                  <c:v>-9</c:v>
                </c:pt>
                <c:pt idx="37">
                  <c:v>-9</c:v>
                </c:pt>
                <c:pt idx="38">
                  <c:v>-9</c:v>
                </c:pt>
                <c:pt idx="39">
                  <c:v>-9</c:v>
                </c:pt>
                <c:pt idx="40">
                  <c:v>-9</c:v>
                </c:pt>
                <c:pt idx="41">
                  <c:v>-9</c:v>
                </c:pt>
                <c:pt idx="42">
                  <c:v>-8</c:v>
                </c:pt>
                <c:pt idx="43">
                  <c:v>-8</c:v>
                </c:pt>
                <c:pt idx="44">
                  <c:v>-8</c:v>
                </c:pt>
                <c:pt idx="45">
                  <c:v>-8</c:v>
                </c:pt>
                <c:pt idx="46">
                  <c:v>-8</c:v>
                </c:pt>
                <c:pt idx="47">
                  <c:v>-8</c:v>
                </c:pt>
                <c:pt idx="48">
                  <c:v>-8</c:v>
                </c:pt>
                <c:pt idx="49">
                  <c:v>-8</c:v>
                </c:pt>
                <c:pt idx="50">
                  <c:v>-8</c:v>
                </c:pt>
                <c:pt idx="51">
                  <c:v>-8</c:v>
                </c:pt>
                <c:pt idx="52">
                  <c:v>-8</c:v>
                </c:pt>
                <c:pt idx="53">
                  <c:v>-8</c:v>
                </c:pt>
                <c:pt idx="54">
                  <c:v>-8</c:v>
                </c:pt>
                <c:pt idx="55">
                  <c:v>-8</c:v>
                </c:pt>
                <c:pt idx="56">
                  <c:v>-8</c:v>
                </c:pt>
                <c:pt idx="57">
                  <c:v>-8</c:v>
                </c:pt>
                <c:pt idx="58">
                  <c:v>-8</c:v>
                </c:pt>
                <c:pt idx="59">
                  <c:v>-8</c:v>
                </c:pt>
                <c:pt idx="60">
                  <c:v>-8</c:v>
                </c:pt>
                <c:pt idx="61">
                  <c:v>-8</c:v>
                </c:pt>
                <c:pt idx="62">
                  <c:v>-8</c:v>
                </c:pt>
                <c:pt idx="63">
                  <c:v>-7</c:v>
                </c:pt>
                <c:pt idx="64">
                  <c:v>-7</c:v>
                </c:pt>
                <c:pt idx="65">
                  <c:v>-7</c:v>
                </c:pt>
                <c:pt idx="66">
                  <c:v>-7</c:v>
                </c:pt>
                <c:pt idx="67">
                  <c:v>-7</c:v>
                </c:pt>
                <c:pt idx="68">
                  <c:v>-7</c:v>
                </c:pt>
                <c:pt idx="69">
                  <c:v>-7</c:v>
                </c:pt>
                <c:pt idx="70">
                  <c:v>-7</c:v>
                </c:pt>
                <c:pt idx="71">
                  <c:v>-7</c:v>
                </c:pt>
                <c:pt idx="72">
                  <c:v>-7</c:v>
                </c:pt>
                <c:pt idx="73">
                  <c:v>-7</c:v>
                </c:pt>
                <c:pt idx="74">
                  <c:v>-7</c:v>
                </c:pt>
                <c:pt idx="75">
                  <c:v>-7</c:v>
                </c:pt>
                <c:pt idx="76">
                  <c:v>-7</c:v>
                </c:pt>
                <c:pt idx="77">
                  <c:v>-7</c:v>
                </c:pt>
                <c:pt idx="78">
                  <c:v>-7</c:v>
                </c:pt>
                <c:pt idx="79">
                  <c:v>-7</c:v>
                </c:pt>
                <c:pt idx="80">
                  <c:v>-7</c:v>
                </c:pt>
                <c:pt idx="81">
                  <c:v>-7</c:v>
                </c:pt>
                <c:pt idx="82">
                  <c:v>-7</c:v>
                </c:pt>
                <c:pt idx="83">
                  <c:v>-7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-4</c:v>
                </c:pt>
                <c:pt idx="127">
                  <c:v>-4</c:v>
                </c:pt>
                <c:pt idx="128">
                  <c:v>-4</c:v>
                </c:pt>
                <c:pt idx="129">
                  <c:v>-4</c:v>
                </c:pt>
                <c:pt idx="130">
                  <c:v>-4</c:v>
                </c:pt>
                <c:pt idx="131">
                  <c:v>-4</c:v>
                </c:pt>
                <c:pt idx="132">
                  <c:v>-4</c:v>
                </c:pt>
                <c:pt idx="133">
                  <c:v>-4</c:v>
                </c:pt>
                <c:pt idx="134">
                  <c:v>-4</c:v>
                </c:pt>
                <c:pt idx="135">
                  <c:v>-4</c:v>
                </c:pt>
                <c:pt idx="136">
                  <c:v>-4</c:v>
                </c:pt>
                <c:pt idx="137">
                  <c:v>-4</c:v>
                </c:pt>
                <c:pt idx="138">
                  <c:v>-4</c:v>
                </c:pt>
                <c:pt idx="139">
                  <c:v>-4</c:v>
                </c:pt>
                <c:pt idx="140">
                  <c:v>-4</c:v>
                </c:pt>
                <c:pt idx="141">
                  <c:v>-4</c:v>
                </c:pt>
                <c:pt idx="142">
                  <c:v>-4</c:v>
                </c:pt>
                <c:pt idx="143">
                  <c:v>-4</c:v>
                </c:pt>
                <c:pt idx="144">
                  <c:v>-4</c:v>
                </c:pt>
                <c:pt idx="145">
                  <c:v>-4</c:v>
                </c:pt>
                <c:pt idx="146">
                  <c:v>-4</c:v>
                </c:pt>
                <c:pt idx="147">
                  <c:v>-3</c:v>
                </c:pt>
                <c:pt idx="148">
                  <c:v>-3</c:v>
                </c:pt>
                <c:pt idx="149">
                  <c:v>-3</c:v>
                </c:pt>
                <c:pt idx="150">
                  <c:v>-3</c:v>
                </c:pt>
                <c:pt idx="151">
                  <c:v>-3</c:v>
                </c:pt>
                <c:pt idx="152">
                  <c:v>-3</c:v>
                </c:pt>
                <c:pt idx="153">
                  <c:v>-3</c:v>
                </c:pt>
                <c:pt idx="154">
                  <c:v>-3</c:v>
                </c:pt>
                <c:pt idx="155">
                  <c:v>-3</c:v>
                </c:pt>
                <c:pt idx="156">
                  <c:v>-3</c:v>
                </c:pt>
                <c:pt idx="157">
                  <c:v>-3</c:v>
                </c:pt>
                <c:pt idx="158">
                  <c:v>-3</c:v>
                </c:pt>
                <c:pt idx="159">
                  <c:v>-3</c:v>
                </c:pt>
                <c:pt idx="160">
                  <c:v>-3</c:v>
                </c:pt>
                <c:pt idx="161">
                  <c:v>-3</c:v>
                </c:pt>
                <c:pt idx="162">
                  <c:v>-3</c:v>
                </c:pt>
                <c:pt idx="163">
                  <c:v>-3</c:v>
                </c:pt>
                <c:pt idx="164">
                  <c:v>-3</c:v>
                </c:pt>
                <c:pt idx="165">
                  <c:v>-3</c:v>
                </c:pt>
                <c:pt idx="166">
                  <c:v>-3</c:v>
                </c:pt>
                <c:pt idx="167">
                  <c:v>-3</c:v>
                </c:pt>
                <c:pt idx="168">
                  <c:v>-2</c:v>
                </c:pt>
                <c:pt idx="169">
                  <c:v>-2</c:v>
                </c:pt>
                <c:pt idx="170">
                  <c:v>-2</c:v>
                </c:pt>
                <c:pt idx="171">
                  <c:v>-2</c:v>
                </c:pt>
                <c:pt idx="172">
                  <c:v>-2</c:v>
                </c:pt>
                <c:pt idx="173">
                  <c:v>-2</c:v>
                </c:pt>
                <c:pt idx="174">
                  <c:v>-2</c:v>
                </c:pt>
                <c:pt idx="175">
                  <c:v>-2</c:v>
                </c:pt>
                <c:pt idx="176">
                  <c:v>-2</c:v>
                </c:pt>
                <c:pt idx="177">
                  <c:v>-2</c:v>
                </c:pt>
                <c:pt idx="178">
                  <c:v>-2</c:v>
                </c:pt>
                <c:pt idx="179">
                  <c:v>-2</c:v>
                </c:pt>
                <c:pt idx="180">
                  <c:v>-2</c:v>
                </c:pt>
                <c:pt idx="181">
                  <c:v>-2</c:v>
                </c:pt>
                <c:pt idx="182">
                  <c:v>-2</c:v>
                </c:pt>
                <c:pt idx="183">
                  <c:v>-2</c:v>
                </c:pt>
                <c:pt idx="184">
                  <c:v>-2</c:v>
                </c:pt>
                <c:pt idx="185">
                  <c:v>-2</c:v>
                </c:pt>
                <c:pt idx="186">
                  <c:v>-2</c:v>
                </c:pt>
                <c:pt idx="187">
                  <c:v>-2</c:v>
                </c:pt>
                <c:pt idx="188">
                  <c:v>-2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4</c:v>
                </c:pt>
                <c:pt idx="306">
                  <c:v>4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6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6</c:v>
                </c:pt>
                <c:pt idx="348">
                  <c:v>6</c:v>
                </c:pt>
                <c:pt idx="349">
                  <c:v>6</c:v>
                </c:pt>
                <c:pt idx="350">
                  <c:v>6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8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9</c:v>
                </c:pt>
                <c:pt idx="419">
                  <c:v>9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Paths!$AC$1:$AC$441</c15:f>
                <c15:dlblRangeCache>
                  <c:ptCount val="441"/>
                  <c:pt idx="0">
                    <c:v>-10, -10</c:v>
                  </c:pt>
                  <c:pt idx="1">
                    <c:v>-9, -10</c:v>
                  </c:pt>
                  <c:pt idx="2">
                    <c:v>-8, -10</c:v>
                  </c:pt>
                  <c:pt idx="3">
                    <c:v>-7, -10</c:v>
                  </c:pt>
                  <c:pt idx="4">
                    <c:v>-6, -10</c:v>
                  </c:pt>
                  <c:pt idx="5">
                    <c:v>-5, -10</c:v>
                  </c:pt>
                  <c:pt idx="6">
                    <c:v>-4, -10</c:v>
                  </c:pt>
                  <c:pt idx="7">
                    <c:v>-3, -10</c:v>
                  </c:pt>
                  <c:pt idx="8">
                    <c:v>-2, -10</c:v>
                  </c:pt>
                  <c:pt idx="9">
                    <c:v>-1, -10</c:v>
                  </c:pt>
                  <c:pt idx="10">
                    <c:v>0, -10</c:v>
                  </c:pt>
                  <c:pt idx="11">
                    <c:v>1, -10</c:v>
                  </c:pt>
                  <c:pt idx="12">
                    <c:v>2, -10</c:v>
                  </c:pt>
                  <c:pt idx="13">
                    <c:v>3, -10</c:v>
                  </c:pt>
                  <c:pt idx="14">
                    <c:v>4, -10</c:v>
                  </c:pt>
                  <c:pt idx="15">
                    <c:v>5, -10</c:v>
                  </c:pt>
                  <c:pt idx="16">
                    <c:v>6, -10</c:v>
                  </c:pt>
                  <c:pt idx="17">
                    <c:v>7, -10</c:v>
                  </c:pt>
                  <c:pt idx="18">
                    <c:v>8, -10</c:v>
                  </c:pt>
                  <c:pt idx="19">
                    <c:v>9, -10</c:v>
                  </c:pt>
                  <c:pt idx="20">
                    <c:v>10, -10</c:v>
                  </c:pt>
                  <c:pt idx="21">
                    <c:v>-10, -9</c:v>
                  </c:pt>
                  <c:pt idx="22">
                    <c:v>-9, -9</c:v>
                  </c:pt>
                  <c:pt idx="23">
                    <c:v>-8, -9</c:v>
                  </c:pt>
                  <c:pt idx="24">
                    <c:v>-7, -9</c:v>
                  </c:pt>
                  <c:pt idx="25">
                    <c:v>-6, -9</c:v>
                  </c:pt>
                  <c:pt idx="26">
                    <c:v>-5, -9</c:v>
                  </c:pt>
                  <c:pt idx="27">
                    <c:v>-4, -9</c:v>
                  </c:pt>
                  <c:pt idx="28">
                    <c:v>-3, -9</c:v>
                  </c:pt>
                  <c:pt idx="29">
                    <c:v>-2, -9</c:v>
                  </c:pt>
                  <c:pt idx="30">
                    <c:v>-1, -9</c:v>
                  </c:pt>
                  <c:pt idx="31">
                    <c:v>0, -9</c:v>
                  </c:pt>
                  <c:pt idx="32">
                    <c:v>1, -9</c:v>
                  </c:pt>
                  <c:pt idx="33">
                    <c:v>2, -9</c:v>
                  </c:pt>
                  <c:pt idx="34">
                    <c:v>3, -9</c:v>
                  </c:pt>
                  <c:pt idx="35">
                    <c:v>4, -9</c:v>
                  </c:pt>
                  <c:pt idx="36">
                    <c:v>5, -9</c:v>
                  </c:pt>
                  <c:pt idx="37">
                    <c:v>6, -9</c:v>
                  </c:pt>
                  <c:pt idx="38">
                    <c:v>7, -9</c:v>
                  </c:pt>
                  <c:pt idx="39">
                    <c:v>8, -9</c:v>
                  </c:pt>
                  <c:pt idx="40">
                    <c:v>9, -9</c:v>
                  </c:pt>
                  <c:pt idx="41">
                    <c:v>10, -9</c:v>
                  </c:pt>
                  <c:pt idx="42">
                    <c:v>-10, -8</c:v>
                  </c:pt>
                  <c:pt idx="43">
                    <c:v>-9, -8</c:v>
                  </c:pt>
                  <c:pt idx="44">
                    <c:v>-8, -8</c:v>
                  </c:pt>
                  <c:pt idx="45">
                    <c:v>-7, -8</c:v>
                  </c:pt>
                  <c:pt idx="46">
                    <c:v>-6, -8</c:v>
                  </c:pt>
                  <c:pt idx="47">
                    <c:v>-5, -8</c:v>
                  </c:pt>
                  <c:pt idx="48">
                    <c:v>-4, -8</c:v>
                  </c:pt>
                  <c:pt idx="49">
                    <c:v>-3, -8</c:v>
                  </c:pt>
                  <c:pt idx="50">
                    <c:v>-2, -8</c:v>
                  </c:pt>
                  <c:pt idx="51">
                    <c:v>-1, -8</c:v>
                  </c:pt>
                  <c:pt idx="52">
                    <c:v>0, -8</c:v>
                  </c:pt>
                  <c:pt idx="53">
                    <c:v>1, -8</c:v>
                  </c:pt>
                  <c:pt idx="54">
                    <c:v>2, -8</c:v>
                  </c:pt>
                  <c:pt idx="55">
                    <c:v>3, -8</c:v>
                  </c:pt>
                  <c:pt idx="56">
                    <c:v>4, -8</c:v>
                  </c:pt>
                  <c:pt idx="57">
                    <c:v>5, -8</c:v>
                  </c:pt>
                  <c:pt idx="58">
                    <c:v>6, -8</c:v>
                  </c:pt>
                  <c:pt idx="59">
                    <c:v>7, -8</c:v>
                  </c:pt>
                  <c:pt idx="60">
                    <c:v>8, -8</c:v>
                  </c:pt>
                  <c:pt idx="61">
                    <c:v>9, -8</c:v>
                  </c:pt>
                  <c:pt idx="62">
                    <c:v>10, -8</c:v>
                  </c:pt>
                  <c:pt idx="63">
                    <c:v>-10, -7</c:v>
                  </c:pt>
                  <c:pt idx="64">
                    <c:v>-9, -7</c:v>
                  </c:pt>
                  <c:pt idx="65">
                    <c:v>-8, -7</c:v>
                  </c:pt>
                  <c:pt idx="66">
                    <c:v>-7, -7</c:v>
                  </c:pt>
                  <c:pt idx="67">
                    <c:v>-6, -7</c:v>
                  </c:pt>
                  <c:pt idx="68">
                    <c:v>-5, -7</c:v>
                  </c:pt>
                  <c:pt idx="69">
                    <c:v>-4, -7</c:v>
                  </c:pt>
                  <c:pt idx="70">
                    <c:v>-3, -7</c:v>
                  </c:pt>
                  <c:pt idx="71">
                    <c:v>-2, -7</c:v>
                  </c:pt>
                  <c:pt idx="72">
                    <c:v>-1, -7</c:v>
                  </c:pt>
                  <c:pt idx="73">
                    <c:v>0, -7</c:v>
                  </c:pt>
                  <c:pt idx="74">
                    <c:v>1, -7</c:v>
                  </c:pt>
                  <c:pt idx="75">
                    <c:v>2, -7</c:v>
                  </c:pt>
                  <c:pt idx="76">
                    <c:v>3, -7</c:v>
                  </c:pt>
                  <c:pt idx="77">
                    <c:v>4, -7</c:v>
                  </c:pt>
                  <c:pt idx="78">
                    <c:v>5, -7</c:v>
                  </c:pt>
                  <c:pt idx="79">
                    <c:v>6, -7</c:v>
                  </c:pt>
                  <c:pt idx="80">
                    <c:v>7, -7</c:v>
                  </c:pt>
                  <c:pt idx="81">
                    <c:v>8, -7</c:v>
                  </c:pt>
                  <c:pt idx="82">
                    <c:v>9, -7</c:v>
                  </c:pt>
                  <c:pt idx="83">
                    <c:v>10, -7</c:v>
                  </c:pt>
                  <c:pt idx="84">
                    <c:v>-10, -6</c:v>
                  </c:pt>
                  <c:pt idx="85">
                    <c:v>-9, -6</c:v>
                  </c:pt>
                  <c:pt idx="86">
                    <c:v>-8, -6</c:v>
                  </c:pt>
                  <c:pt idx="87">
                    <c:v>-7, -6</c:v>
                  </c:pt>
                  <c:pt idx="88">
                    <c:v>-6, -6</c:v>
                  </c:pt>
                  <c:pt idx="89">
                    <c:v>-5, -6</c:v>
                  </c:pt>
                  <c:pt idx="90">
                    <c:v>-4, -6</c:v>
                  </c:pt>
                  <c:pt idx="91">
                    <c:v>-3, -6</c:v>
                  </c:pt>
                  <c:pt idx="92">
                    <c:v>-2, -6</c:v>
                  </c:pt>
                  <c:pt idx="93">
                    <c:v>-1, -6</c:v>
                  </c:pt>
                  <c:pt idx="94">
                    <c:v>0, -6</c:v>
                  </c:pt>
                  <c:pt idx="95">
                    <c:v>1, -6</c:v>
                  </c:pt>
                  <c:pt idx="96">
                    <c:v>2, -6</c:v>
                  </c:pt>
                  <c:pt idx="97">
                    <c:v>3, -6</c:v>
                  </c:pt>
                  <c:pt idx="98">
                    <c:v>4, -6</c:v>
                  </c:pt>
                  <c:pt idx="99">
                    <c:v>5, -6</c:v>
                  </c:pt>
                  <c:pt idx="100">
                    <c:v>6, -6</c:v>
                  </c:pt>
                  <c:pt idx="101">
                    <c:v>7, -6</c:v>
                  </c:pt>
                  <c:pt idx="102">
                    <c:v>8, -6</c:v>
                  </c:pt>
                  <c:pt idx="103">
                    <c:v>9, -6</c:v>
                  </c:pt>
                  <c:pt idx="104">
                    <c:v>10, -6</c:v>
                  </c:pt>
                  <c:pt idx="105">
                    <c:v>-10, -5</c:v>
                  </c:pt>
                  <c:pt idx="106">
                    <c:v>-9, -5</c:v>
                  </c:pt>
                  <c:pt idx="107">
                    <c:v>-8, -5</c:v>
                  </c:pt>
                  <c:pt idx="108">
                    <c:v>-7, -5</c:v>
                  </c:pt>
                  <c:pt idx="109">
                    <c:v>-6, -5</c:v>
                  </c:pt>
                  <c:pt idx="110">
                    <c:v>-5, -5</c:v>
                  </c:pt>
                  <c:pt idx="111">
                    <c:v>-4, -5</c:v>
                  </c:pt>
                  <c:pt idx="112">
                    <c:v>-3, -5</c:v>
                  </c:pt>
                  <c:pt idx="113">
                    <c:v>-2, -5</c:v>
                  </c:pt>
                  <c:pt idx="114">
                    <c:v>-1, -5</c:v>
                  </c:pt>
                  <c:pt idx="115">
                    <c:v>0, -5</c:v>
                  </c:pt>
                  <c:pt idx="116">
                    <c:v>1, -5</c:v>
                  </c:pt>
                  <c:pt idx="117">
                    <c:v>2, -5</c:v>
                  </c:pt>
                  <c:pt idx="118">
                    <c:v>3, -5</c:v>
                  </c:pt>
                  <c:pt idx="119">
                    <c:v>4, -5</c:v>
                  </c:pt>
                  <c:pt idx="120">
                    <c:v>5, -5</c:v>
                  </c:pt>
                  <c:pt idx="121">
                    <c:v>6, -5</c:v>
                  </c:pt>
                  <c:pt idx="122">
                    <c:v>7, -5</c:v>
                  </c:pt>
                  <c:pt idx="123">
                    <c:v>8, -5</c:v>
                  </c:pt>
                  <c:pt idx="124">
                    <c:v>9, -5</c:v>
                  </c:pt>
                  <c:pt idx="125">
                    <c:v>10, -5</c:v>
                  </c:pt>
                  <c:pt idx="126">
                    <c:v>-10, -4</c:v>
                  </c:pt>
                  <c:pt idx="127">
                    <c:v>-9, -4</c:v>
                  </c:pt>
                  <c:pt idx="128">
                    <c:v>-8, -4</c:v>
                  </c:pt>
                  <c:pt idx="129">
                    <c:v>-7, -4</c:v>
                  </c:pt>
                  <c:pt idx="130">
                    <c:v>-6, -4</c:v>
                  </c:pt>
                  <c:pt idx="131">
                    <c:v>-5, -4</c:v>
                  </c:pt>
                  <c:pt idx="132">
                    <c:v>-4, -4</c:v>
                  </c:pt>
                  <c:pt idx="133">
                    <c:v>-3, -4</c:v>
                  </c:pt>
                  <c:pt idx="134">
                    <c:v>-2, -4</c:v>
                  </c:pt>
                  <c:pt idx="135">
                    <c:v>-1, -4</c:v>
                  </c:pt>
                  <c:pt idx="136">
                    <c:v>0, -4</c:v>
                  </c:pt>
                  <c:pt idx="137">
                    <c:v>1, -4</c:v>
                  </c:pt>
                  <c:pt idx="138">
                    <c:v>2, -4</c:v>
                  </c:pt>
                  <c:pt idx="139">
                    <c:v>3, -4</c:v>
                  </c:pt>
                  <c:pt idx="140">
                    <c:v>4, -4</c:v>
                  </c:pt>
                  <c:pt idx="141">
                    <c:v>5, -4</c:v>
                  </c:pt>
                  <c:pt idx="142">
                    <c:v>6, -4</c:v>
                  </c:pt>
                  <c:pt idx="143">
                    <c:v>7, -4</c:v>
                  </c:pt>
                  <c:pt idx="144">
                    <c:v>8, -4</c:v>
                  </c:pt>
                  <c:pt idx="145">
                    <c:v>9, -4</c:v>
                  </c:pt>
                  <c:pt idx="146">
                    <c:v>10, -4</c:v>
                  </c:pt>
                  <c:pt idx="147">
                    <c:v>-10, -3</c:v>
                  </c:pt>
                  <c:pt idx="148">
                    <c:v>-9, -3</c:v>
                  </c:pt>
                  <c:pt idx="149">
                    <c:v>-8, -3</c:v>
                  </c:pt>
                  <c:pt idx="150">
                    <c:v>-7, -3</c:v>
                  </c:pt>
                  <c:pt idx="151">
                    <c:v>-6, -3</c:v>
                  </c:pt>
                  <c:pt idx="152">
                    <c:v>-5, -3</c:v>
                  </c:pt>
                  <c:pt idx="153">
                    <c:v>-4, -3</c:v>
                  </c:pt>
                  <c:pt idx="154">
                    <c:v>-3, -3</c:v>
                  </c:pt>
                  <c:pt idx="155">
                    <c:v>-2, -3</c:v>
                  </c:pt>
                  <c:pt idx="156">
                    <c:v>-1, -3</c:v>
                  </c:pt>
                  <c:pt idx="157">
                    <c:v>0, -3</c:v>
                  </c:pt>
                  <c:pt idx="158">
                    <c:v>1, -3</c:v>
                  </c:pt>
                  <c:pt idx="159">
                    <c:v>2, -3</c:v>
                  </c:pt>
                  <c:pt idx="160">
                    <c:v>3, -3</c:v>
                  </c:pt>
                  <c:pt idx="161">
                    <c:v>4, -3</c:v>
                  </c:pt>
                  <c:pt idx="162">
                    <c:v>5, -3</c:v>
                  </c:pt>
                  <c:pt idx="163">
                    <c:v>6, -3</c:v>
                  </c:pt>
                  <c:pt idx="164">
                    <c:v>7, -3</c:v>
                  </c:pt>
                  <c:pt idx="165">
                    <c:v>8, -3</c:v>
                  </c:pt>
                  <c:pt idx="166">
                    <c:v>9, -3</c:v>
                  </c:pt>
                  <c:pt idx="167">
                    <c:v>10, -3</c:v>
                  </c:pt>
                  <c:pt idx="168">
                    <c:v>-10, -2</c:v>
                  </c:pt>
                  <c:pt idx="169">
                    <c:v>-9, -2</c:v>
                  </c:pt>
                  <c:pt idx="170">
                    <c:v>-8, -2</c:v>
                  </c:pt>
                  <c:pt idx="171">
                    <c:v>-7, -2</c:v>
                  </c:pt>
                  <c:pt idx="172">
                    <c:v>-6, -2</c:v>
                  </c:pt>
                  <c:pt idx="173">
                    <c:v>-5, -2</c:v>
                  </c:pt>
                  <c:pt idx="174">
                    <c:v>-4, -2</c:v>
                  </c:pt>
                  <c:pt idx="175">
                    <c:v>-3, -2</c:v>
                  </c:pt>
                  <c:pt idx="176">
                    <c:v>-2, -2</c:v>
                  </c:pt>
                  <c:pt idx="177">
                    <c:v>-1, -2</c:v>
                  </c:pt>
                  <c:pt idx="178">
                    <c:v>0, -2</c:v>
                  </c:pt>
                  <c:pt idx="179">
                    <c:v>1, -2</c:v>
                  </c:pt>
                  <c:pt idx="180">
                    <c:v>2, -2</c:v>
                  </c:pt>
                  <c:pt idx="181">
                    <c:v>3, -2</c:v>
                  </c:pt>
                  <c:pt idx="182">
                    <c:v>4, -2</c:v>
                  </c:pt>
                  <c:pt idx="183">
                    <c:v>5, -2</c:v>
                  </c:pt>
                  <c:pt idx="184">
                    <c:v>6, -2</c:v>
                  </c:pt>
                  <c:pt idx="185">
                    <c:v>7, -2</c:v>
                  </c:pt>
                  <c:pt idx="186">
                    <c:v>8, -2</c:v>
                  </c:pt>
                  <c:pt idx="187">
                    <c:v>9, -2</c:v>
                  </c:pt>
                  <c:pt idx="188">
                    <c:v>10, -2</c:v>
                  </c:pt>
                  <c:pt idx="189">
                    <c:v>-10, -1</c:v>
                  </c:pt>
                  <c:pt idx="190">
                    <c:v>-9, -1</c:v>
                  </c:pt>
                  <c:pt idx="191">
                    <c:v>-8, -1</c:v>
                  </c:pt>
                  <c:pt idx="192">
                    <c:v>-7, -1</c:v>
                  </c:pt>
                  <c:pt idx="193">
                    <c:v>-6, -1</c:v>
                  </c:pt>
                  <c:pt idx="194">
                    <c:v>-5, -1</c:v>
                  </c:pt>
                  <c:pt idx="195">
                    <c:v>-4, -1</c:v>
                  </c:pt>
                  <c:pt idx="196">
                    <c:v>-3, -1</c:v>
                  </c:pt>
                  <c:pt idx="197">
                    <c:v>-2, -1</c:v>
                  </c:pt>
                  <c:pt idx="198">
                    <c:v>-1, -1</c:v>
                  </c:pt>
                  <c:pt idx="199">
                    <c:v>0, -1</c:v>
                  </c:pt>
                  <c:pt idx="200">
                    <c:v>1, -1</c:v>
                  </c:pt>
                  <c:pt idx="201">
                    <c:v>2, -1</c:v>
                  </c:pt>
                  <c:pt idx="202">
                    <c:v>3, -1</c:v>
                  </c:pt>
                  <c:pt idx="203">
                    <c:v>4, -1</c:v>
                  </c:pt>
                  <c:pt idx="204">
                    <c:v>5, -1</c:v>
                  </c:pt>
                  <c:pt idx="205">
                    <c:v>6, -1</c:v>
                  </c:pt>
                  <c:pt idx="206">
                    <c:v>7, -1</c:v>
                  </c:pt>
                  <c:pt idx="207">
                    <c:v>8, -1</c:v>
                  </c:pt>
                  <c:pt idx="208">
                    <c:v>9, -1</c:v>
                  </c:pt>
                  <c:pt idx="209">
                    <c:v>10, -1</c:v>
                  </c:pt>
                  <c:pt idx="210">
                    <c:v>-10, 0</c:v>
                  </c:pt>
                  <c:pt idx="211">
                    <c:v>-9, 0</c:v>
                  </c:pt>
                  <c:pt idx="212">
                    <c:v>-8, 0</c:v>
                  </c:pt>
                  <c:pt idx="213">
                    <c:v>-7, 0</c:v>
                  </c:pt>
                  <c:pt idx="214">
                    <c:v>-6, 0</c:v>
                  </c:pt>
                  <c:pt idx="215">
                    <c:v>-5, 0</c:v>
                  </c:pt>
                  <c:pt idx="216">
                    <c:v>-4, 0</c:v>
                  </c:pt>
                  <c:pt idx="217">
                    <c:v>-3, 0</c:v>
                  </c:pt>
                  <c:pt idx="218">
                    <c:v>-2, 0</c:v>
                  </c:pt>
                  <c:pt idx="219">
                    <c:v>-1, 0</c:v>
                  </c:pt>
                  <c:pt idx="220">
                    <c:v>0, 0</c:v>
                  </c:pt>
                  <c:pt idx="221">
                    <c:v>1, 0</c:v>
                  </c:pt>
                  <c:pt idx="222">
                    <c:v>2, 0</c:v>
                  </c:pt>
                  <c:pt idx="223">
                    <c:v>3, 0</c:v>
                  </c:pt>
                  <c:pt idx="224">
                    <c:v>4, 0</c:v>
                  </c:pt>
                  <c:pt idx="225">
                    <c:v>5, 0</c:v>
                  </c:pt>
                  <c:pt idx="226">
                    <c:v>6, 0</c:v>
                  </c:pt>
                  <c:pt idx="227">
                    <c:v>7, 0</c:v>
                  </c:pt>
                  <c:pt idx="228">
                    <c:v>8, 0</c:v>
                  </c:pt>
                  <c:pt idx="229">
                    <c:v>9, 0</c:v>
                  </c:pt>
                  <c:pt idx="230">
                    <c:v>10, 0</c:v>
                  </c:pt>
                  <c:pt idx="231">
                    <c:v>-10, 1</c:v>
                  </c:pt>
                  <c:pt idx="232">
                    <c:v>-9, 1</c:v>
                  </c:pt>
                  <c:pt idx="233">
                    <c:v>-8, 1</c:v>
                  </c:pt>
                  <c:pt idx="234">
                    <c:v>-7, 1</c:v>
                  </c:pt>
                  <c:pt idx="235">
                    <c:v>-6, 1</c:v>
                  </c:pt>
                  <c:pt idx="236">
                    <c:v>-5, 1</c:v>
                  </c:pt>
                  <c:pt idx="237">
                    <c:v>-4, 1</c:v>
                  </c:pt>
                  <c:pt idx="238">
                    <c:v>-3, 1</c:v>
                  </c:pt>
                  <c:pt idx="239">
                    <c:v>-2, 1</c:v>
                  </c:pt>
                  <c:pt idx="240">
                    <c:v>-1, 1</c:v>
                  </c:pt>
                  <c:pt idx="241">
                    <c:v>0, 1</c:v>
                  </c:pt>
                  <c:pt idx="242">
                    <c:v>1, 1</c:v>
                  </c:pt>
                  <c:pt idx="243">
                    <c:v>2, 1</c:v>
                  </c:pt>
                  <c:pt idx="244">
                    <c:v>3, 1</c:v>
                  </c:pt>
                  <c:pt idx="245">
                    <c:v>4, 1</c:v>
                  </c:pt>
                  <c:pt idx="246">
                    <c:v>5, 1</c:v>
                  </c:pt>
                  <c:pt idx="247">
                    <c:v>6, 1</c:v>
                  </c:pt>
                  <c:pt idx="248">
                    <c:v>7, 1</c:v>
                  </c:pt>
                  <c:pt idx="249">
                    <c:v>8, 1</c:v>
                  </c:pt>
                  <c:pt idx="250">
                    <c:v>9, 1</c:v>
                  </c:pt>
                  <c:pt idx="251">
                    <c:v>10, 1</c:v>
                  </c:pt>
                  <c:pt idx="252">
                    <c:v>-10, 2</c:v>
                  </c:pt>
                  <c:pt idx="253">
                    <c:v>-9, 2</c:v>
                  </c:pt>
                  <c:pt idx="254">
                    <c:v>-8, 2</c:v>
                  </c:pt>
                  <c:pt idx="255">
                    <c:v>-7, 2</c:v>
                  </c:pt>
                  <c:pt idx="256">
                    <c:v>-6, 2</c:v>
                  </c:pt>
                  <c:pt idx="257">
                    <c:v>-5, 2</c:v>
                  </c:pt>
                  <c:pt idx="258">
                    <c:v>-4, 2</c:v>
                  </c:pt>
                  <c:pt idx="259">
                    <c:v>-3, 2</c:v>
                  </c:pt>
                  <c:pt idx="260">
                    <c:v>-2, 2</c:v>
                  </c:pt>
                  <c:pt idx="261">
                    <c:v>-1, 2</c:v>
                  </c:pt>
                  <c:pt idx="262">
                    <c:v>0, 2</c:v>
                  </c:pt>
                  <c:pt idx="263">
                    <c:v>1, 2</c:v>
                  </c:pt>
                  <c:pt idx="264">
                    <c:v>2, 2</c:v>
                  </c:pt>
                  <c:pt idx="265">
                    <c:v>3, 2</c:v>
                  </c:pt>
                  <c:pt idx="266">
                    <c:v>4, 2</c:v>
                  </c:pt>
                  <c:pt idx="267">
                    <c:v>5, 2</c:v>
                  </c:pt>
                  <c:pt idx="268">
                    <c:v>6, 2</c:v>
                  </c:pt>
                  <c:pt idx="269">
                    <c:v>7, 2</c:v>
                  </c:pt>
                  <c:pt idx="270">
                    <c:v>8, 2</c:v>
                  </c:pt>
                  <c:pt idx="271">
                    <c:v>9, 2</c:v>
                  </c:pt>
                  <c:pt idx="272">
                    <c:v>10, 2</c:v>
                  </c:pt>
                  <c:pt idx="273">
                    <c:v>-10, 3</c:v>
                  </c:pt>
                  <c:pt idx="274">
                    <c:v>-9, 3</c:v>
                  </c:pt>
                  <c:pt idx="275">
                    <c:v>-8, 3</c:v>
                  </c:pt>
                  <c:pt idx="276">
                    <c:v>-7, 3</c:v>
                  </c:pt>
                  <c:pt idx="277">
                    <c:v>-6, 3</c:v>
                  </c:pt>
                  <c:pt idx="278">
                    <c:v>-5, 3</c:v>
                  </c:pt>
                  <c:pt idx="279">
                    <c:v>-4, 3</c:v>
                  </c:pt>
                  <c:pt idx="280">
                    <c:v>-3, 3</c:v>
                  </c:pt>
                  <c:pt idx="281">
                    <c:v>-2, 3</c:v>
                  </c:pt>
                  <c:pt idx="282">
                    <c:v>-1, 3</c:v>
                  </c:pt>
                  <c:pt idx="283">
                    <c:v>0, 3</c:v>
                  </c:pt>
                  <c:pt idx="284">
                    <c:v>1, 3</c:v>
                  </c:pt>
                  <c:pt idx="285">
                    <c:v>2, 3</c:v>
                  </c:pt>
                  <c:pt idx="286">
                    <c:v>3, 3</c:v>
                  </c:pt>
                  <c:pt idx="287">
                    <c:v>4, 3</c:v>
                  </c:pt>
                  <c:pt idx="288">
                    <c:v>5, 3</c:v>
                  </c:pt>
                  <c:pt idx="289">
                    <c:v>6, 3</c:v>
                  </c:pt>
                  <c:pt idx="290">
                    <c:v>7, 3</c:v>
                  </c:pt>
                  <c:pt idx="291">
                    <c:v>8, 3</c:v>
                  </c:pt>
                  <c:pt idx="292">
                    <c:v>9, 3</c:v>
                  </c:pt>
                  <c:pt idx="293">
                    <c:v>10, 3</c:v>
                  </c:pt>
                  <c:pt idx="294">
                    <c:v>-10, 4</c:v>
                  </c:pt>
                  <c:pt idx="295">
                    <c:v>-9, 4</c:v>
                  </c:pt>
                  <c:pt idx="296">
                    <c:v>-8, 4</c:v>
                  </c:pt>
                  <c:pt idx="297">
                    <c:v>-7, 4</c:v>
                  </c:pt>
                  <c:pt idx="298">
                    <c:v>-6, 4</c:v>
                  </c:pt>
                  <c:pt idx="299">
                    <c:v>-5, 4</c:v>
                  </c:pt>
                  <c:pt idx="300">
                    <c:v>-4, 4</c:v>
                  </c:pt>
                  <c:pt idx="301">
                    <c:v>-3, 4</c:v>
                  </c:pt>
                  <c:pt idx="302">
                    <c:v>-2, 4</c:v>
                  </c:pt>
                  <c:pt idx="303">
                    <c:v>-1, 4</c:v>
                  </c:pt>
                  <c:pt idx="304">
                    <c:v>0, 4</c:v>
                  </c:pt>
                  <c:pt idx="305">
                    <c:v>1, 4</c:v>
                  </c:pt>
                  <c:pt idx="306">
                    <c:v>2, 4</c:v>
                  </c:pt>
                  <c:pt idx="307">
                    <c:v>3, 4</c:v>
                  </c:pt>
                  <c:pt idx="308">
                    <c:v>4, 4</c:v>
                  </c:pt>
                  <c:pt idx="309">
                    <c:v>5, 4</c:v>
                  </c:pt>
                  <c:pt idx="310">
                    <c:v>6, 4</c:v>
                  </c:pt>
                  <c:pt idx="311">
                    <c:v>7, 4</c:v>
                  </c:pt>
                  <c:pt idx="312">
                    <c:v>8, 4</c:v>
                  </c:pt>
                  <c:pt idx="313">
                    <c:v>9, 4</c:v>
                  </c:pt>
                  <c:pt idx="314">
                    <c:v>10, 4</c:v>
                  </c:pt>
                  <c:pt idx="315">
                    <c:v>-10, 5</c:v>
                  </c:pt>
                  <c:pt idx="316">
                    <c:v>-9, 5</c:v>
                  </c:pt>
                  <c:pt idx="317">
                    <c:v>-8, 5</c:v>
                  </c:pt>
                  <c:pt idx="318">
                    <c:v>-7, 5</c:v>
                  </c:pt>
                  <c:pt idx="319">
                    <c:v>-6, 5</c:v>
                  </c:pt>
                  <c:pt idx="320">
                    <c:v>-5, 5</c:v>
                  </c:pt>
                  <c:pt idx="321">
                    <c:v>-4, 5</c:v>
                  </c:pt>
                  <c:pt idx="322">
                    <c:v>-3, 5</c:v>
                  </c:pt>
                  <c:pt idx="323">
                    <c:v>-2, 5</c:v>
                  </c:pt>
                  <c:pt idx="324">
                    <c:v>-1, 5</c:v>
                  </c:pt>
                  <c:pt idx="325">
                    <c:v>0, 5</c:v>
                  </c:pt>
                  <c:pt idx="326">
                    <c:v>1, 5</c:v>
                  </c:pt>
                  <c:pt idx="327">
                    <c:v>2, 5</c:v>
                  </c:pt>
                  <c:pt idx="328">
                    <c:v>3, 5</c:v>
                  </c:pt>
                  <c:pt idx="329">
                    <c:v>4, 5</c:v>
                  </c:pt>
                  <c:pt idx="330">
                    <c:v>5, 5</c:v>
                  </c:pt>
                  <c:pt idx="331">
                    <c:v>6, 5</c:v>
                  </c:pt>
                  <c:pt idx="332">
                    <c:v>7, 5</c:v>
                  </c:pt>
                  <c:pt idx="333">
                    <c:v>8, 5</c:v>
                  </c:pt>
                  <c:pt idx="334">
                    <c:v>9, 5</c:v>
                  </c:pt>
                  <c:pt idx="335">
                    <c:v>10, 5</c:v>
                  </c:pt>
                  <c:pt idx="336">
                    <c:v>-10, 6</c:v>
                  </c:pt>
                  <c:pt idx="337">
                    <c:v>-9, 6</c:v>
                  </c:pt>
                  <c:pt idx="338">
                    <c:v>-8, 6</c:v>
                  </c:pt>
                  <c:pt idx="339">
                    <c:v>-7, 6</c:v>
                  </c:pt>
                  <c:pt idx="340">
                    <c:v>-6, 6</c:v>
                  </c:pt>
                  <c:pt idx="341">
                    <c:v>-5, 6</c:v>
                  </c:pt>
                  <c:pt idx="342">
                    <c:v>-4, 6</c:v>
                  </c:pt>
                  <c:pt idx="343">
                    <c:v>-3, 6</c:v>
                  </c:pt>
                  <c:pt idx="344">
                    <c:v>-2, 6</c:v>
                  </c:pt>
                  <c:pt idx="345">
                    <c:v>-1, 6</c:v>
                  </c:pt>
                  <c:pt idx="346">
                    <c:v>0, 6</c:v>
                  </c:pt>
                  <c:pt idx="347">
                    <c:v>1, 6</c:v>
                  </c:pt>
                  <c:pt idx="348">
                    <c:v>2, 6</c:v>
                  </c:pt>
                  <c:pt idx="349">
                    <c:v>3, 6</c:v>
                  </c:pt>
                  <c:pt idx="350">
                    <c:v>4, 6</c:v>
                  </c:pt>
                  <c:pt idx="351">
                    <c:v>5, 6</c:v>
                  </c:pt>
                  <c:pt idx="352">
                    <c:v>6, 6</c:v>
                  </c:pt>
                  <c:pt idx="353">
                    <c:v>7, 6</c:v>
                  </c:pt>
                  <c:pt idx="354">
                    <c:v>8, 6</c:v>
                  </c:pt>
                  <c:pt idx="355">
                    <c:v>9, 6</c:v>
                  </c:pt>
                  <c:pt idx="356">
                    <c:v>10, 6</c:v>
                  </c:pt>
                  <c:pt idx="357">
                    <c:v>-10, 7</c:v>
                  </c:pt>
                  <c:pt idx="358">
                    <c:v>-9, 7</c:v>
                  </c:pt>
                  <c:pt idx="359">
                    <c:v>-8, 7</c:v>
                  </c:pt>
                  <c:pt idx="360">
                    <c:v>-7, 7</c:v>
                  </c:pt>
                  <c:pt idx="361">
                    <c:v>-6, 7</c:v>
                  </c:pt>
                  <c:pt idx="362">
                    <c:v>-5, 7</c:v>
                  </c:pt>
                  <c:pt idx="363">
                    <c:v>-4, 7</c:v>
                  </c:pt>
                  <c:pt idx="364">
                    <c:v>-3, 7</c:v>
                  </c:pt>
                  <c:pt idx="365">
                    <c:v>-2, 7</c:v>
                  </c:pt>
                  <c:pt idx="366">
                    <c:v>-1, 7</c:v>
                  </c:pt>
                  <c:pt idx="367">
                    <c:v>0, 7</c:v>
                  </c:pt>
                  <c:pt idx="368">
                    <c:v>1, 7</c:v>
                  </c:pt>
                  <c:pt idx="369">
                    <c:v>2, 7</c:v>
                  </c:pt>
                  <c:pt idx="370">
                    <c:v>3, 7</c:v>
                  </c:pt>
                  <c:pt idx="371">
                    <c:v>4, 7</c:v>
                  </c:pt>
                  <c:pt idx="372">
                    <c:v>5, 7</c:v>
                  </c:pt>
                  <c:pt idx="373">
                    <c:v>6, 7</c:v>
                  </c:pt>
                  <c:pt idx="374">
                    <c:v>7, 7</c:v>
                  </c:pt>
                  <c:pt idx="375">
                    <c:v>8, 7</c:v>
                  </c:pt>
                  <c:pt idx="376">
                    <c:v>9, 7</c:v>
                  </c:pt>
                  <c:pt idx="377">
                    <c:v>10, 7</c:v>
                  </c:pt>
                  <c:pt idx="378">
                    <c:v>-10, 8</c:v>
                  </c:pt>
                  <c:pt idx="379">
                    <c:v>-9, 8</c:v>
                  </c:pt>
                  <c:pt idx="380">
                    <c:v>-8, 8</c:v>
                  </c:pt>
                  <c:pt idx="381">
                    <c:v>-7, 8</c:v>
                  </c:pt>
                  <c:pt idx="382">
                    <c:v>-6, 8</c:v>
                  </c:pt>
                  <c:pt idx="383">
                    <c:v>-5, 8</c:v>
                  </c:pt>
                  <c:pt idx="384">
                    <c:v>-4, 8</c:v>
                  </c:pt>
                  <c:pt idx="385">
                    <c:v>-3, 8</c:v>
                  </c:pt>
                  <c:pt idx="386">
                    <c:v>-2, 8</c:v>
                  </c:pt>
                  <c:pt idx="387">
                    <c:v>-1, 8</c:v>
                  </c:pt>
                  <c:pt idx="388">
                    <c:v>0, 8</c:v>
                  </c:pt>
                  <c:pt idx="389">
                    <c:v>1, 8</c:v>
                  </c:pt>
                  <c:pt idx="390">
                    <c:v>2, 8</c:v>
                  </c:pt>
                  <c:pt idx="391">
                    <c:v>3, 8</c:v>
                  </c:pt>
                  <c:pt idx="392">
                    <c:v>4, 8</c:v>
                  </c:pt>
                  <c:pt idx="393">
                    <c:v>5, 8</c:v>
                  </c:pt>
                  <c:pt idx="394">
                    <c:v>6, 8</c:v>
                  </c:pt>
                  <c:pt idx="395">
                    <c:v>7, 8</c:v>
                  </c:pt>
                  <c:pt idx="396">
                    <c:v>8, 8</c:v>
                  </c:pt>
                  <c:pt idx="397">
                    <c:v>9, 8</c:v>
                  </c:pt>
                  <c:pt idx="398">
                    <c:v>10, 8</c:v>
                  </c:pt>
                  <c:pt idx="399">
                    <c:v>-10, 9</c:v>
                  </c:pt>
                  <c:pt idx="400">
                    <c:v>-9, 9</c:v>
                  </c:pt>
                  <c:pt idx="401">
                    <c:v>-8, 9</c:v>
                  </c:pt>
                  <c:pt idx="402">
                    <c:v>-7, 9</c:v>
                  </c:pt>
                  <c:pt idx="403">
                    <c:v>-6, 9</c:v>
                  </c:pt>
                  <c:pt idx="404">
                    <c:v>-5, 9</c:v>
                  </c:pt>
                  <c:pt idx="405">
                    <c:v>-4, 9</c:v>
                  </c:pt>
                  <c:pt idx="406">
                    <c:v>-3, 9</c:v>
                  </c:pt>
                  <c:pt idx="407">
                    <c:v>-2, 9</c:v>
                  </c:pt>
                  <c:pt idx="408">
                    <c:v>-1, 9</c:v>
                  </c:pt>
                  <c:pt idx="409">
                    <c:v>0, 9</c:v>
                  </c:pt>
                  <c:pt idx="410">
                    <c:v>1, 9</c:v>
                  </c:pt>
                  <c:pt idx="411">
                    <c:v>2, 9</c:v>
                  </c:pt>
                  <c:pt idx="412">
                    <c:v>3, 9</c:v>
                  </c:pt>
                  <c:pt idx="413">
                    <c:v>4, 9</c:v>
                  </c:pt>
                  <c:pt idx="414">
                    <c:v>5, 9</c:v>
                  </c:pt>
                  <c:pt idx="415">
                    <c:v>6, 9</c:v>
                  </c:pt>
                  <c:pt idx="416">
                    <c:v>7, 9</c:v>
                  </c:pt>
                  <c:pt idx="417">
                    <c:v>8, 9</c:v>
                  </c:pt>
                  <c:pt idx="418">
                    <c:v>9, 9</c:v>
                  </c:pt>
                  <c:pt idx="419">
                    <c:v>10, 9</c:v>
                  </c:pt>
                  <c:pt idx="420">
                    <c:v>-10, 10</c:v>
                  </c:pt>
                  <c:pt idx="421">
                    <c:v>-9, 10</c:v>
                  </c:pt>
                  <c:pt idx="422">
                    <c:v>-8, 10</c:v>
                  </c:pt>
                  <c:pt idx="423">
                    <c:v>-7, 10</c:v>
                  </c:pt>
                  <c:pt idx="424">
                    <c:v>-6, 10</c:v>
                  </c:pt>
                  <c:pt idx="425">
                    <c:v>-5, 10</c:v>
                  </c:pt>
                  <c:pt idx="426">
                    <c:v>-4, 10</c:v>
                  </c:pt>
                  <c:pt idx="427">
                    <c:v>-3, 10</c:v>
                  </c:pt>
                  <c:pt idx="428">
                    <c:v>-2, 10</c:v>
                  </c:pt>
                  <c:pt idx="429">
                    <c:v>-1, 10</c:v>
                  </c:pt>
                  <c:pt idx="430">
                    <c:v>0, 10</c:v>
                  </c:pt>
                  <c:pt idx="431">
                    <c:v>1, 10</c:v>
                  </c:pt>
                  <c:pt idx="432">
                    <c:v>2, 10</c:v>
                  </c:pt>
                  <c:pt idx="433">
                    <c:v>3, 10</c:v>
                  </c:pt>
                  <c:pt idx="434">
                    <c:v>4, 10</c:v>
                  </c:pt>
                  <c:pt idx="435">
                    <c:v>5, 10</c:v>
                  </c:pt>
                  <c:pt idx="436">
                    <c:v>6, 10</c:v>
                  </c:pt>
                  <c:pt idx="437">
                    <c:v>7, 10</c:v>
                  </c:pt>
                  <c:pt idx="438">
                    <c:v>8, 10</c:v>
                  </c:pt>
                  <c:pt idx="439">
                    <c:v>9, 10</c:v>
                  </c:pt>
                  <c:pt idx="440">
                    <c:v>10, 10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B9-CE22-4BEC-ACB0-D5E36310785A}"/>
            </c:ext>
          </c:extLst>
        </c:ser>
        <c:ser>
          <c:idx val="1"/>
          <c:order val="1"/>
          <c:tx>
            <c:strRef>
              <c:f>Paths!$C$1</c:f>
              <c:strCache>
                <c:ptCount val="1"/>
                <c:pt idx="0">
                  <c:v>Paths</c:v>
                </c:pt>
              </c:strCache>
            </c:strRef>
          </c:tx>
          <c:spPr>
            <a:ln w="22225">
              <a:solidFill>
                <a:srgbClr val="00B0F0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Paths!$A$2:$A$400</c:f>
              <c:numCache>
                <c:formatCode>General</c:formatCode>
                <c:ptCount val="399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0</c:v>
                </c:pt>
                <c:pt idx="10">
                  <c:v>0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8">
                  <c:v>1</c:v>
                </c:pt>
                <c:pt idx="19">
                  <c:v>1</c:v>
                </c:pt>
                <c:pt idx="21">
                  <c:v>1</c:v>
                </c:pt>
                <c:pt idx="22">
                  <c:v>1</c:v>
                </c:pt>
                <c:pt idx="24">
                  <c:v>1</c:v>
                </c:pt>
                <c:pt idx="25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0</c:v>
                </c:pt>
                <c:pt idx="31">
                  <c:v>0</c:v>
                </c:pt>
                <c:pt idx="33">
                  <c:v>2</c:v>
                </c:pt>
                <c:pt idx="34">
                  <c:v>2</c:v>
                </c:pt>
                <c:pt idx="36">
                  <c:v>2</c:v>
                </c:pt>
                <c:pt idx="37">
                  <c:v>2</c:v>
                </c:pt>
                <c:pt idx="39">
                  <c:v>2</c:v>
                </c:pt>
                <c:pt idx="40">
                  <c:v>2</c:v>
                </c:pt>
                <c:pt idx="42">
                  <c:v>2</c:v>
                </c:pt>
                <c:pt idx="43">
                  <c:v>2</c:v>
                </c:pt>
                <c:pt idx="45">
                  <c:v>2</c:v>
                </c:pt>
                <c:pt idx="46">
                  <c:v>2</c:v>
                </c:pt>
                <c:pt idx="48">
                  <c:v>2</c:v>
                </c:pt>
                <c:pt idx="49">
                  <c:v>2</c:v>
                </c:pt>
                <c:pt idx="51">
                  <c:v>0</c:v>
                </c:pt>
                <c:pt idx="52">
                  <c:v>0</c:v>
                </c:pt>
                <c:pt idx="54">
                  <c:v>3</c:v>
                </c:pt>
                <c:pt idx="55">
                  <c:v>3</c:v>
                </c:pt>
                <c:pt idx="57">
                  <c:v>3</c:v>
                </c:pt>
                <c:pt idx="58">
                  <c:v>3</c:v>
                </c:pt>
                <c:pt idx="60">
                  <c:v>3</c:v>
                </c:pt>
                <c:pt idx="61">
                  <c:v>3</c:v>
                </c:pt>
                <c:pt idx="63">
                  <c:v>3</c:v>
                </c:pt>
                <c:pt idx="64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0">
                  <c:v>3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10</c:v>
                </c:pt>
                <c:pt idx="81">
                  <c:v>10</c:v>
                </c:pt>
                <c:pt idx="82">
                  <c:v>10</c:v>
                </c:pt>
                <c:pt idx="84">
                  <c:v>10</c:v>
                </c:pt>
                <c:pt idx="85">
                  <c:v>-10</c:v>
                </c:pt>
                <c:pt idx="87">
                  <c:v>-10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3</c:v>
                </c:pt>
                <c:pt idx="122">
                  <c:v>3</c:v>
                </c:pt>
                <c:pt idx="123">
                  <c:v>1</c:v>
                </c:pt>
                <c:pt idx="124">
                  <c:v>1</c:v>
                </c:pt>
                <c:pt idx="127">
                  <c:v>3</c:v>
                </c:pt>
                <c:pt idx="128">
                  <c:v>3</c:v>
                </c:pt>
                <c:pt idx="129">
                  <c:v>1</c:v>
                </c:pt>
                <c:pt idx="130">
                  <c:v>1</c:v>
                </c:pt>
              </c:numCache>
            </c:numRef>
          </c:xVal>
          <c:yVal>
            <c:numRef>
              <c:f>Paths!$B$2:$B$400</c:f>
              <c:numCache>
                <c:formatCode>General</c:formatCode>
                <c:ptCount val="399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1</c:v>
                </c:pt>
                <c:pt idx="15">
                  <c:v>1</c:v>
                </c:pt>
                <c:pt idx="16">
                  <c:v>2</c:v>
                </c:pt>
                <c:pt idx="18">
                  <c:v>2</c:v>
                </c:pt>
                <c:pt idx="19">
                  <c:v>3</c:v>
                </c:pt>
                <c:pt idx="21">
                  <c:v>3</c:v>
                </c:pt>
                <c:pt idx="22">
                  <c:v>4</c:v>
                </c:pt>
                <c:pt idx="24">
                  <c:v>4</c:v>
                </c:pt>
                <c:pt idx="25">
                  <c:v>5</c:v>
                </c:pt>
                <c:pt idx="27">
                  <c:v>5</c:v>
                </c:pt>
                <c:pt idx="28">
                  <c:v>6</c:v>
                </c:pt>
                <c:pt idx="30">
                  <c:v>0</c:v>
                </c:pt>
                <c:pt idx="31">
                  <c:v>0</c:v>
                </c:pt>
                <c:pt idx="33">
                  <c:v>0</c:v>
                </c:pt>
                <c:pt idx="34">
                  <c:v>-1</c:v>
                </c:pt>
                <c:pt idx="36">
                  <c:v>-1</c:v>
                </c:pt>
                <c:pt idx="37">
                  <c:v>-2</c:v>
                </c:pt>
                <c:pt idx="39">
                  <c:v>-2</c:v>
                </c:pt>
                <c:pt idx="40">
                  <c:v>-3</c:v>
                </c:pt>
                <c:pt idx="42">
                  <c:v>-3</c:v>
                </c:pt>
                <c:pt idx="43">
                  <c:v>-4</c:v>
                </c:pt>
                <c:pt idx="45">
                  <c:v>-4</c:v>
                </c:pt>
                <c:pt idx="46">
                  <c:v>-5</c:v>
                </c:pt>
                <c:pt idx="48">
                  <c:v>-5</c:v>
                </c:pt>
                <c:pt idx="49">
                  <c:v>-6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1</c:v>
                </c:pt>
                <c:pt idx="57">
                  <c:v>1</c:v>
                </c:pt>
                <c:pt idx="58">
                  <c:v>2</c:v>
                </c:pt>
                <c:pt idx="60">
                  <c:v>2</c:v>
                </c:pt>
                <c:pt idx="61">
                  <c:v>3</c:v>
                </c:pt>
                <c:pt idx="63">
                  <c:v>3</c:v>
                </c:pt>
                <c:pt idx="64">
                  <c:v>4</c:v>
                </c:pt>
                <c:pt idx="66">
                  <c:v>4</c:v>
                </c:pt>
                <c:pt idx="67">
                  <c:v>5</c:v>
                </c:pt>
                <c:pt idx="69">
                  <c:v>5</c:v>
                </c:pt>
                <c:pt idx="70">
                  <c:v>6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-10</c:v>
                </c:pt>
                <c:pt idx="81">
                  <c:v>-10</c:v>
                </c:pt>
                <c:pt idx="82">
                  <c:v>10</c:v>
                </c:pt>
                <c:pt idx="84">
                  <c:v>10</c:v>
                </c:pt>
                <c:pt idx="85">
                  <c:v>10</c:v>
                </c:pt>
                <c:pt idx="87">
                  <c:v>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6</c:v>
                </c:pt>
                <c:pt idx="122">
                  <c:v>7</c:v>
                </c:pt>
                <c:pt idx="123">
                  <c:v>7</c:v>
                </c:pt>
                <c:pt idx="124">
                  <c:v>6</c:v>
                </c:pt>
                <c:pt idx="127">
                  <c:v>6</c:v>
                </c:pt>
                <c:pt idx="128">
                  <c:v>7</c:v>
                </c:pt>
                <c:pt idx="129">
                  <c:v>7</c:v>
                </c:pt>
                <c:pt idx="13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A-CE22-4BEC-ACB0-D5E36310785A}"/>
            </c:ext>
          </c:extLst>
        </c:ser>
        <c:ser>
          <c:idx val="0"/>
          <c:order val="2"/>
          <c:tx>
            <c:strRef>
              <c:f>Spots!$C$1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gradFill>
                <a:gsLst>
                  <a:gs pos="0">
                    <a:srgbClr val="E5FFFF"/>
                  </a:gs>
                  <a:gs pos="100000">
                    <a:srgbClr val="21C5FF"/>
                  </a:gs>
                </a:gsLst>
                <a:lin ang="5400000" scaled="1"/>
              </a:gradFill>
              <a:ln w="3175">
                <a:solidFill>
                  <a:srgbClr val="21C5FF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1BB-CE22-4BEC-ACB0-D5E36310785A}"/>
              </c:ext>
            </c:extLst>
          </c:dPt>
          <c:dLbls>
            <c:dLbl>
              <c:idx val="0"/>
              <c:layout>
                <c:manualLayout>
                  <c:x val="-4.1369260716376088E-2"/>
                  <c:y val="-2.2029921391318923E-2"/>
                </c:manualLayout>
              </c:layout>
              <c:tx>
                <c:rich>
                  <a:bodyPr rot="0" vertOverflow="overflow" horzOverflow="overflow" vert="horz" wrap="square" lIns="36000" tIns="36000" rIns="36000" bIns="36000" anchor="ctr" anchorCtr="0">
                    <a:noAutofit/>
                  </a:bodyPr>
                  <a:lstStyle/>
                  <a:p>
                    <a:pPr>
                      <a:defRPr sz="700">
                        <a:solidFill>
                          <a:sysClr val="windowText" lastClr="000000"/>
                        </a:solidFill>
                      </a:defRPr>
                    </a:pPr>
                    <a:fld id="{F888FAB0-D4B3-4F6C-8A9B-1D7057E42839}" type="CELLRANGE">
                      <a:rPr lang="en-US"/>
                      <a:pPr>
                        <a:defRPr sz="700">
                          <a:solidFill>
                            <a:sysClr val="windowText" lastClr="000000"/>
                          </a:solidFill>
                        </a:defRPr>
                      </a:pPr>
                      <a:t>[CELLRANGE]</a:t>
                    </a:fld>
                    <a:endParaRPr lang="en-IN"/>
                  </a:p>
                </c:rich>
              </c:tx>
              <c:spPr>
                <a:gradFill>
                  <a:gsLst>
                    <a:gs pos="0">
                      <a:srgbClr val="4F81BD">
                        <a:lumMod val="5000"/>
                        <a:lumOff val="95000"/>
                        <a:alpha val="30000"/>
                      </a:srgbClr>
                    </a:gs>
                    <a:gs pos="97000">
                      <a:srgbClr val="00B0F0"/>
                    </a:gs>
                    <a:gs pos="50000">
                      <a:srgbClr val="ECF1F8"/>
                    </a:gs>
                  </a:gsLst>
                  <a:lin ang="5400000" scaled="1"/>
                </a:gradFill>
                <a:ln w="6350">
                  <a:solidFill>
                    <a:srgbClr val="00B0F0"/>
                  </a:solidFill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oundRectCallout">
                      <a:avLst/>
                    </a:prstGeom>
                  </c15:spPr>
                  <c15:layout>
                    <c:manualLayout>
                      <c:w val="3.496047280320267E-2"/>
                      <c:h val="2.0622648447835654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B-CE22-4BEC-ACB0-D5E36310785A}"/>
                </c:ext>
              </c:extLst>
            </c:dLbl>
            <c:dLbl>
              <c:idx val="1"/>
              <c:layout>
                <c:manualLayout>
                  <c:x val="-4.0498287057951304E-2"/>
                  <c:y val="-2.1214557470474217E-2"/>
                </c:manualLayout>
              </c:layout>
              <c:tx>
                <c:rich>
                  <a:bodyPr/>
                  <a:lstStyle/>
                  <a:p>
                    <a:fld id="{36E4F80D-F662-49A7-9843-41010108C869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C-CE22-4BEC-ACB0-D5E36310785A}"/>
                </c:ext>
              </c:extLst>
            </c:dLbl>
            <c:dLbl>
              <c:idx val="2"/>
              <c:layout>
                <c:manualLayout>
                  <c:x val="-3.4403306580179066E-2"/>
                  <c:y val="-2.11276811635428E-2"/>
                </c:manualLayout>
              </c:layout>
              <c:tx>
                <c:rich>
                  <a:bodyPr/>
                  <a:lstStyle/>
                  <a:p>
                    <a:fld id="{077A8DE7-41E2-4DB5-974A-0D8B189C4E5E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D-CE22-4BEC-ACB0-D5E36310785A}"/>
                </c:ext>
              </c:extLst>
            </c:dLbl>
            <c:dLbl>
              <c:idx val="3"/>
              <c:layout>
                <c:manualLayout>
                  <c:x val="-1.1812127831569211E-2"/>
                  <c:y val="-2.121630321186636E-2"/>
                </c:manualLayout>
              </c:layout>
              <c:tx>
                <c:rich>
                  <a:bodyPr/>
                  <a:lstStyle/>
                  <a:p>
                    <a:fld id="{A87861A0-7FDA-4ABA-B390-4118AC38AA8A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BE-CE22-4BEC-ACB0-D5E3631078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CE22-4BEC-ACB0-D5E3631078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A3C44F-8E99-4CBD-AE92-76DA1B1F2EF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CE22-4BEC-ACB0-D5E3631078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5E562D2-6B87-4AF1-B8CF-F860737EE4E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CE22-4BEC-ACB0-D5E3631078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19FCA18-702C-41CB-A698-30094FC867D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CE22-4BEC-ACB0-D5E3631078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53FF82-4C32-485E-9F58-41A54E638CB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CE22-4BEC-ACB0-D5E3631078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44C204-87C4-4D6E-9D1F-B535D7BF6D2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CE22-4BEC-ACB0-D5E3631078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84DCE33-5966-4938-866D-75E8526EBA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CE22-4BEC-ACB0-D5E3631078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CE22-4BEC-ACB0-D5E3631078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215411F-D074-4528-A766-AACB1830D10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CE22-4BEC-ACB0-D5E3631078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BA84DE-C6F4-4F77-A559-8AB9F8113E9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CE22-4BEC-ACB0-D5E3631078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F60DC8-F04A-4ECD-9B3E-A78A96D8F9B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CE22-4BEC-ACB0-D5E3631078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88309B-6496-437A-988F-2CB87D30135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CE22-4BEC-ACB0-D5E3631078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2539265-B7D7-4CB5-B27F-8D9D281CC74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CE22-4BEC-ACB0-D5E3631078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73FB698-F81E-4578-BEDD-588EACE1EE0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CE22-4BEC-ACB0-D5E3631078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CE22-4BEC-ACB0-D5E3631078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31F381-91F1-4A31-9DA2-15839E4BFFC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CE22-4BEC-ACB0-D5E3631078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5F403C-0D7C-4276-A1D7-B075556066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CE22-4BEC-ACB0-D5E3631078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43F35E6-0B24-45D1-A20E-4B430494FEC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CE22-4BEC-ACB0-D5E3631078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5A2A2C9-F3AD-4745-94EB-D7E9E172E88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CE22-4BEC-ACB0-D5E3631078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DC34871-0497-4297-9C74-FB5DF0CC4E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CE22-4BEC-ACB0-D5E3631078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593D1CE-93E7-4205-A264-907CB10732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CE22-4BEC-ACB0-D5E3631078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CE22-4BEC-ACB0-D5E3631078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D446DFB-C73E-47FC-B940-559FBF761A8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CE22-4BEC-ACB0-D5E3631078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897D8C3-EF2A-489D-8E7D-D56DE86F8AC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CE22-4BEC-ACB0-D5E3631078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CE22-4BEC-ACB0-D5E3631078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EDB7A46-03FA-4B65-BF9B-188F0ACE71B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CE22-4BEC-ACB0-D5E3631078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52A534-0C15-48FA-AD8E-0B5CB86F734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CE22-4BEC-ACB0-D5E3631078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C9CBF3-76E4-4579-B077-9C151A5A69E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CE22-4BEC-ACB0-D5E3631078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783C3A8-F8C5-494F-A8CA-9ACAB3A67D1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CE22-4BEC-ACB0-D5E3631078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A26AFFE-1704-4781-A70E-EA05BC9822C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CE22-4BEC-ACB0-D5E3631078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CE22-4BEC-ACB0-D5E3631078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CE22-4BEC-ACB0-D5E3631078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CE22-4BEC-ACB0-D5E3631078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CE22-4BEC-ACB0-D5E3631078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CE22-4BEC-ACB0-D5E3631078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CE22-4BEC-ACB0-D5E3631078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CE22-4BEC-ACB0-D5E3631078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CE22-4BEC-ACB0-D5E3631078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CE22-4BEC-ACB0-D5E3631078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CE22-4BEC-ACB0-D5E3631078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CE22-4BEC-ACB0-D5E3631078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CE22-4BEC-ACB0-D5E3631078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CE22-4BEC-ACB0-D5E3631078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CE22-4BEC-ACB0-D5E3631078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CE22-4BEC-ACB0-D5E3631078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CE22-4BEC-ACB0-D5E3631078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CE22-4BEC-ACB0-D5E3631078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CE22-4BEC-ACB0-D5E3631078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CE22-4BEC-ACB0-D5E3631078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CE22-4BEC-ACB0-D5E3631078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CE22-4BEC-ACB0-D5E3631078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CE22-4BEC-ACB0-D5E3631078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CE22-4BEC-ACB0-D5E3631078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CE22-4BEC-ACB0-D5E3631078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CE22-4BEC-ACB0-D5E3631078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CE22-4BEC-ACB0-D5E3631078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CE22-4BEC-ACB0-D5E3631078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CE22-4BEC-ACB0-D5E3631078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CE22-4BEC-ACB0-D5E3631078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CE22-4BEC-ACB0-D5E3631078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CE22-4BEC-ACB0-D5E3631078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CE22-4BEC-ACB0-D5E3631078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CE22-4BEC-ACB0-D5E3631078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CE22-4BEC-ACB0-D5E3631078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CE22-4BEC-ACB0-D5E3631078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CE22-4BEC-ACB0-D5E3631078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CE22-4BEC-ACB0-D5E3631078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CE22-4BEC-ACB0-D5E3631078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CE22-4BEC-ACB0-D5E3631078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CE22-4BEC-ACB0-D5E3631078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CE22-4BEC-ACB0-D5E3631078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CE22-4BEC-ACB0-D5E3631078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CE22-4BEC-ACB0-D5E3631078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CE22-4BEC-ACB0-D5E3631078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CE22-4BEC-ACB0-D5E3631078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CE22-4BEC-ACB0-D5E3631078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CE22-4BEC-ACB0-D5E3631078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CE22-4BEC-ACB0-D5E3631078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CE22-4BEC-ACB0-D5E3631078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CE22-4BEC-ACB0-D5E3631078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CE22-4BEC-ACB0-D5E3631078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CE22-4BEC-ACB0-D5E3631078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CE22-4BEC-ACB0-D5E3631078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CE22-4BEC-ACB0-D5E3631078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CE22-4BEC-ACB0-D5E3631078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CE22-4BEC-ACB0-D5E3631078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CE22-4BEC-ACB0-D5E3631078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CE22-4BEC-ACB0-D5E3631078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CE22-4BEC-ACB0-D5E3631078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CE22-4BEC-ACB0-D5E3631078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CE22-4BEC-ACB0-D5E3631078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CE22-4BEC-ACB0-D5E3631078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CE22-4BEC-ACB0-D5E3631078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CE22-4BEC-ACB0-D5E3631078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CE22-4BEC-ACB0-D5E3631078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CE22-4BEC-ACB0-D5E3631078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CE22-4BEC-ACB0-D5E3631078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CE22-4BEC-ACB0-D5E3631078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CE22-4BEC-ACB0-D5E3631078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CE22-4BEC-ACB0-D5E3631078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CE22-4BEC-ACB0-D5E3631078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CE22-4BEC-ACB0-D5E3631078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CE22-4BEC-ACB0-D5E3631078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CE22-4BEC-ACB0-D5E3631078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CE22-4BEC-ACB0-D5E3631078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CE22-4BEC-ACB0-D5E3631078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CE22-4BEC-ACB0-D5E3631078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CE22-4BEC-ACB0-D5E3631078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CE22-4BEC-ACB0-D5E3631078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CE22-4BEC-ACB0-D5E3631078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CE22-4BEC-ACB0-D5E3631078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CE22-4BEC-ACB0-D5E3631078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CE22-4BEC-ACB0-D5E3631078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CE22-4BEC-ACB0-D5E3631078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CE22-4BEC-ACB0-D5E3631078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CE22-4BEC-ACB0-D5E3631078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CE22-4BEC-ACB0-D5E3631078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CE22-4BEC-ACB0-D5E3631078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CE22-4BEC-ACB0-D5E3631078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CE22-4BEC-ACB0-D5E3631078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CE22-4BEC-ACB0-D5E3631078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CE22-4BEC-ACB0-D5E3631078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CE22-4BEC-ACB0-D5E3631078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CE22-4BEC-ACB0-D5E3631078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CE22-4BEC-ACB0-D5E3631078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CE22-4BEC-ACB0-D5E3631078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CE22-4BEC-ACB0-D5E3631078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CE22-4BEC-ACB0-D5E3631078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CE22-4BEC-ACB0-D5E3631078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CE22-4BEC-ACB0-D5E3631078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CE22-4BEC-ACB0-D5E3631078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CE22-4BEC-ACB0-D5E3631078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CE22-4BEC-ACB0-D5E3631078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CE22-4BEC-ACB0-D5E3631078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CE22-4BEC-ACB0-D5E3631078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CE22-4BEC-ACB0-D5E3631078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CE22-4BEC-ACB0-D5E3631078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CE22-4BEC-ACB0-D5E3631078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CE22-4BEC-ACB0-D5E3631078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CE22-4BEC-ACB0-D5E3631078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CE22-4BEC-ACB0-D5E3631078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CE22-4BEC-ACB0-D5E3631078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CE22-4BEC-ACB0-D5E3631078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CE22-4BEC-ACB0-D5E3631078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CE22-4BEC-ACB0-D5E3631078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CE22-4BEC-ACB0-D5E3631078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CE22-4BEC-ACB0-D5E3631078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CE22-4BEC-ACB0-D5E3631078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CE22-4BEC-ACB0-D5E3631078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CE22-4BEC-ACB0-D5E3631078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CE22-4BEC-ACB0-D5E3631078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CE22-4BEC-ACB0-D5E3631078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CE22-4BEC-ACB0-D5E3631078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CE22-4BEC-ACB0-D5E3631078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CE22-4BEC-ACB0-D5E3631078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CE22-4BEC-ACB0-D5E3631078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CE22-4BEC-ACB0-D5E3631078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CE22-4BEC-ACB0-D5E3631078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CE22-4BEC-ACB0-D5E3631078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CE22-4BEC-ACB0-D5E3631078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CE22-4BEC-ACB0-D5E3631078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CE22-4BEC-ACB0-D5E3631078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CE22-4BEC-ACB0-D5E3631078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CE22-4BEC-ACB0-D5E3631078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CE22-4BEC-ACB0-D5E3631078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CE22-4BEC-ACB0-D5E3631078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CE22-4BEC-ACB0-D5E3631078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CE22-4BEC-ACB0-D5E3631078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CE22-4BEC-ACB0-D5E3631078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CE22-4BEC-ACB0-D5E3631078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CE22-4BEC-ACB0-D5E3631078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CE22-4BEC-ACB0-D5E3631078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CE22-4BEC-ACB0-D5E3631078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CE22-4BEC-ACB0-D5E3631078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CE22-4BEC-ACB0-D5E3631078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CE22-4BEC-ACB0-D5E3631078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CE22-4BEC-ACB0-D5E3631078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CE22-4BEC-ACB0-D5E3631078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CE22-4BEC-ACB0-D5E3631078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CE22-4BEC-ACB0-D5E3631078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CE22-4BEC-ACB0-D5E3631078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CE22-4BEC-ACB0-D5E3631078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CE22-4BEC-ACB0-D5E3631078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CE22-4BEC-ACB0-D5E3631078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CE22-4BEC-ACB0-D5E3631078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CE22-4BEC-ACB0-D5E3631078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CE22-4BEC-ACB0-D5E3631078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CE22-4BEC-ACB0-D5E3631078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CE22-4BEC-ACB0-D5E3631078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CE22-4BEC-ACB0-D5E3631078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CE22-4BEC-ACB0-D5E3631078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CE22-4BEC-ACB0-D5E3631078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CE22-4BEC-ACB0-D5E3631078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CE22-4BEC-ACB0-D5E3631078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C9-444D-BEA7-14B48741954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C9-444D-BEA7-14B48741954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C9-444D-BEA7-14B48741954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C9-444D-BEA7-14B48741954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C9-444D-BEA7-14B487419541}"/>
                </c:ext>
              </c:extLst>
            </c:dLbl>
            <c:spPr>
              <a:gradFill>
                <a:gsLst>
                  <a:gs pos="0">
                    <a:srgbClr val="4F81BD">
                      <a:lumMod val="5000"/>
                      <a:lumOff val="95000"/>
                      <a:alpha val="30000"/>
                    </a:srgbClr>
                  </a:gs>
                  <a:gs pos="97000">
                    <a:srgbClr val="00B0F0"/>
                  </a:gs>
                  <a:gs pos="50000">
                    <a:srgbClr val="ECF1F8"/>
                  </a:gs>
                </a:gsLst>
                <a:lin ang="5400000" scaled="1"/>
              </a:gradFill>
              <a:ln w="6350">
                <a:solidFill>
                  <a:srgbClr val="00B0F0"/>
                </a:solidFill>
              </a:ln>
              <a:effectLst/>
            </c:spPr>
            <c:txPr>
              <a:bodyPr rot="0" vertOverflow="overflow" horzOverflow="overflow" vert="horz" wrap="square" lIns="36000" tIns="36000" rIns="36000" bIns="36000" anchor="ctr" anchorCtr="0">
                <a:spAutoFit/>
              </a:bodyPr>
              <a:lstStyle/>
              <a:p>
                <a:pPr>
                  <a:defRPr sz="7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Spots!$B$3:$B$205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6">
                  <c:v>2</c:v>
                </c:pt>
                <c:pt idx="27">
                  <c:v>2</c:v>
                </c:pt>
                <c:pt idx="29">
                  <c:v>-10</c:v>
                </c:pt>
                <c:pt idx="30">
                  <c:v>10</c:v>
                </c:pt>
                <c:pt idx="31">
                  <c:v>10</c:v>
                </c:pt>
                <c:pt idx="32">
                  <c:v>-10</c:v>
                </c:pt>
                <c:pt idx="33">
                  <c:v>-9</c:v>
                </c:pt>
              </c:numCache>
            </c:numRef>
          </c:xVal>
          <c:yVal>
            <c:numRef>
              <c:f>Spots!$C$3:$C$205</c:f>
              <c:numCache>
                <c:formatCode>General</c:formatCode>
                <c:ptCount val="2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2">
                  <c:v>-1</c:v>
                </c:pt>
                <c:pt idx="13">
                  <c:v>-2</c:v>
                </c:pt>
                <c:pt idx="14">
                  <c:v>-3</c:v>
                </c:pt>
                <c:pt idx="15">
                  <c:v>-4</c:v>
                </c:pt>
                <c:pt idx="16">
                  <c:v>-5</c:v>
                </c:pt>
                <c:pt idx="17">
                  <c:v>-6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6">
                  <c:v>8</c:v>
                </c:pt>
                <c:pt idx="27">
                  <c:v>-8</c:v>
                </c:pt>
                <c:pt idx="29">
                  <c:v>-10</c:v>
                </c:pt>
                <c:pt idx="30">
                  <c:v>-10</c:v>
                </c:pt>
                <c:pt idx="31">
                  <c:v>10</c:v>
                </c:pt>
                <c:pt idx="32">
                  <c:v>10</c:v>
                </c:pt>
                <c:pt idx="33">
                  <c:v>-10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Spots!$A$3:$A$127</c15:f>
                <c15:dlblRangeCache>
                  <c:ptCount val="125"/>
                  <c:pt idx="0">
                    <c:v>Intro</c:v>
                  </c:pt>
                  <c:pt idx="1">
                    <c:v>Features</c:v>
                  </c:pt>
                  <c:pt idx="2">
                    <c:v>Applications</c:v>
                  </c:pt>
                  <c:pt idx="3">
                    <c:v>Benefits</c:v>
                  </c:pt>
                  <c:pt idx="5">
                    <c:v>Feature1</c:v>
                  </c:pt>
                  <c:pt idx="6">
                    <c:v>Feature2</c:v>
                  </c:pt>
                  <c:pt idx="7">
                    <c:v>Feature3</c:v>
                  </c:pt>
                  <c:pt idx="8">
                    <c:v>Feature4</c:v>
                  </c:pt>
                  <c:pt idx="9">
                    <c:v>Feature5</c:v>
                  </c:pt>
                  <c:pt idx="10">
                    <c:v>Feature6</c:v>
                  </c:pt>
                  <c:pt idx="12">
                    <c:v>Application1</c:v>
                  </c:pt>
                  <c:pt idx="13">
                    <c:v>Application2</c:v>
                  </c:pt>
                  <c:pt idx="14">
                    <c:v>Application3</c:v>
                  </c:pt>
                  <c:pt idx="15">
                    <c:v>Application4</c:v>
                  </c:pt>
                  <c:pt idx="16">
                    <c:v>Application5</c:v>
                  </c:pt>
                  <c:pt idx="17">
                    <c:v>Application6</c:v>
                  </c:pt>
                  <c:pt idx="19">
                    <c:v>Benefit1</c:v>
                  </c:pt>
                  <c:pt idx="20">
                    <c:v>Benefit2</c:v>
                  </c:pt>
                  <c:pt idx="21">
                    <c:v>Benefit3</c:v>
                  </c:pt>
                  <c:pt idx="22">
                    <c:v>Benefit4</c:v>
                  </c:pt>
                  <c:pt idx="23">
                    <c:v>Benefit5</c:v>
                  </c:pt>
                  <c:pt idx="24">
                    <c:v>Benefit6</c:v>
                  </c:pt>
                  <c:pt idx="26">
                    <c:v>Teleport1</c:v>
                  </c:pt>
                  <c:pt idx="27">
                    <c:v>Teleport2</c:v>
                  </c:pt>
                  <c:pt idx="29">
                    <c:v>Blank_1</c:v>
                  </c:pt>
                  <c:pt idx="30">
                    <c:v>Blank_2</c:v>
                  </c:pt>
                  <c:pt idx="31">
                    <c:v>Blank_3</c:v>
                  </c:pt>
                  <c:pt idx="32">
                    <c:v>Blank_4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281-CE22-4BEC-ACB0-D5E36310785A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199414528"/>
        <c:axId val="199416448"/>
      </c:scatterChart>
      <c:valAx>
        <c:axId val="199414528"/>
        <c:scaling>
          <c:orientation val="minMax"/>
          <c:max val="10"/>
          <c:min val="-10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199416448"/>
        <c:crossesAt val="0"/>
        <c:crossBetween val="midCat"/>
        <c:majorUnit val="10"/>
      </c:valAx>
      <c:valAx>
        <c:axId val="199416448"/>
        <c:scaling>
          <c:orientation val="minMax"/>
          <c:max val="10"/>
          <c:min val="-10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199414528"/>
        <c:crosses val="autoZero"/>
        <c:crossBetween val="midCat"/>
        <c:majorUnit val="10"/>
      </c:valAx>
      <c:spPr>
        <a:noFill/>
        <a:ln w="25400">
          <a:solidFill>
            <a:srgbClr val="61D6FF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Grid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251572327044023E-2"/>
          <c:y val="5.6903988348981763E-2"/>
          <c:w val="0.90241280731846774"/>
          <c:h val="0.89848468587552532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566B22-2E26-43C2-81BE-6B300D114A84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28A-940E-41A3-9BD0-604611080B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95A9AB-AEBB-4C16-8A45-D3C01C7724A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B-940E-41A3-9BD0-604611080B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58E060-24A9-4B5D-811F-F817BDB7791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C-940E-41A3-9BD0-604611080B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0736F8-4183-4A31-9A4D-B2242892EEC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D-940E-41A3-9BD0-604611080B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28EFE4-4EF4-40A2-98A6-DF9756F2A73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E-940E-41A3-9BD0-604611080B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6B6050-3FFC-4DE6-B48C-4F6C29F768F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F-940E-41A3-9BD0-604611080B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611BFC-1AB6-437D-814A-5E017C855E6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0-940E-41A3-9BD0-604611080B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FE5E886-E7D7-4E3E-B75D-B531C6D541A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1-940E-41A3-9BD0-604611080B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943D6C5-2508-49EA-9DC8-526033AE521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2-940E-41A3-9BD0-604611080B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377144-C476-4905-88E2-2F307F8B01D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3-940E-41A3-9BD0-604611080B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19DE70-0B87-4052-9686-2E04447BA8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4-940E-41A3-9BD0-604611080B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2C4B5EE-79BF-478F-AF76-4038641364D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5-940E-41A3-9BD0-604611080B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DB9011-1065-44DB-8B39-720188338D0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6-940E-41A3-9BD0-604611080B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2E2339-F9FA-45FA-8355-2E280F8077E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7-940E-41A3-9BD0-604611080B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C34A0D0-C450-46A1-A92A-75602103B8B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8-940E-41A3-9BD0-604611080B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1DA9B24-ABF4-44B3-AB60-684F1FE1E0D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9-940E-41A3-9BD0-604611080B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12C15D-BA29-4D20-9DEB-4B61CD922E3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A-940E-41A3-9BD0-604611080B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C2A2D6-004C-4CAF-9DEC-E8612B87FA5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B-940E-41A3-9BD0-604611080B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110B75-A69F-4C99-8AC2-4526252781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C-940E-41A3-9BD0-604611080B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9C25C1-126A-4441-927C-58C9FDC98B2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D-940E-41A3-9BD0-604611080B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8AF05D9-AB0B-4AD5-B20A-C91275C615E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E-940E-41A3-9BD0-604611080B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E08BE65-C981-4990-8A0D-5D882AB9BA5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F-940E-41A3-9BD0-604611080B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2077CA6-91D2-43A3-8225-857D25F8780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0-940E-41A3-9BD0-604611080B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F6046D8-5A8F-4647-A6C9-50150FD636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1-940E-41A3-9BD0-604611080B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7180B1F-1B52-429A-8FC9-A271942E8B9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2-940E-41A3-9BD0-604611080B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F50155-B942-4BB0-86E2-E6B662B9966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3-940E-41A3-9BD0-604611080B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0914584-6191-4127-80B8-D75BC33B1C5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4-940E-41A3-9BD0-604611080B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839CAAD-873F-439D-A3AC-6393B39DFC5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5-940E-41A3-9BD0-604611080B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20DE190-2E44-469C-8FD1-4CCCD12E932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6-940E-41A3-9BD0-604611080B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CACDDB-30CB-4CFC-8CD7-5D4DE26838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7-940E-41A3-9BD0-604611080B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38DBC5-2C8D-4688-9180-105E8B7BD14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8-940E-41A3-9BD0-604611080B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17AFCF8-29E4-4564-8030-666E3C6CAE1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9-940E-41A3-9BD0-604611080B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8F707E1-6C41-4B7A-AE52-19CE49DBAF2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A-940E-41A3-9BD0-604611080B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1750679-11AE-427F-A1C8-12DA00EA1F4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B-940E-41A3-9BD0-604611080B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0C17D4F-EC54-4103-8F8C-DFFE35D9995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C-940E-41A3-9BD0-604611080B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799633-2038-4F32-AB87-58039E8DF8A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D-940E-41A3-9BD0-604611080B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4281D7E-1396-4120-A1D3-B609679547D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E-940E-41A3-9BD0-604611080B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ADD9BA-6D23-4F0E-843C-4EB9A4B96AD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F-940E-41A3-9BD0-604611080B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2B67106-2BC3-43CF-BE32-03E2AAEDAB7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0-940E-41A3-9BD0-604611080B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5CF334C-1FF4-419B-8A89-980F38B271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1-940E-41A3-9BD0-604611080B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9039D6E-26A4-430B-9B39-F708726A830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2-940E-41A3-9BD0-604611080B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9F16E9D-23B7-45D2-ADA2-D9E2C108E02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3-940E-41A3-9BD0-604611080B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EDFAF78-0D39-410E-BFE7-EBBE064F2E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4-940E-41A3-9BD0-604611080B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BD61B23-7C74-4BAA-9190-B0C4F92047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5-940E-41A3-9BD0-604611080B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6DB2179-9611-4379-B7CA-D4D2106D5E5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6-940E-41A3-9BD0-604611080B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DAB393B-96AE-4974-A676-B0861CFC58F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7-940E-41A3-9BD0-604611080B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9143002-30AA-4C9D-9335-DE0CCF0DAC7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8-940E-41A3-9BD0-604611080B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14B9658-1B47-4095-8DDA-CD897CA31D6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9-940E-41A3-9BD0-604611080B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13530E0-99D6-483D-A874-A569AE68B7D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A-940E-41A3-9BD0-604611080B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C31EDD-7A4D-4D65-ADE7-82384A0DF4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B-940E-41A3-9BD0-604611080B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A88DED9-B89B-43AD-BE71-E38B6AA2CA0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C-940E-41A3-9BD0-604611080B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252C771-3286-44E0-846F-C53EC0BFF06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D-940E-41A3-9BD0-604611080B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88BF050-2E55-49BD-B93D-1838E93EA34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E-940E-41A3-9BD0-604611080B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EB875E2-7ABE-4891-96BE-1F3434FCC20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F-940E-41A3-9BD0-604611080B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0E925F0-59EC-4083-81D8-4758D50A231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0-940E-41A3-9BD0-604611080B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E5AE3D-A706-489E-80E1-9611A1EFA7F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1-940E-41A3-9BD0-604611080B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266B80A-5765-4311-B9F7-3E082609B0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2-940E-41A3-9BD0-604611080B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4262A69-E342-44DE-A31D-55A9C603DC1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3-940E-41A3-9BD0-604611080B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B3E63CB-E10A-416A-86E4-19ECA3C902B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4-940E-41A3-9BD0-604611080B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517F79C-E24B-4EB0-8B09-10BD455818F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5-940E-41A3-9BD0-604611080B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184E10-5648-4A32-B5D8-FE05093A414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6-940E-41A3-9BD0-604611080B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B5B4C22-9986-4FEE-9C35-76705309715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7-940E-41A3-9BD0-604611080B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91C4883-0B7B-4023-A421-70670A70F74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8-940E-41A3-9BD0-604611080B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6D540AD-8B5E-4500-B8A8-B4BD6BA366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9-940E-41A3-9BD0-604611080B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DABE9F-7854-4686-8EEF-5BD4C0D55B6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A-940E-41A3-9BD0-604611080B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034C54-4BD7-4B72-991C-DBF89EAB864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B-940E-41A3-9BD0-604611080B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0BC9974-790F-430C-90D6-0E595C790B2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C-940E-41A3-9BD0-604611080B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805E7F-FC39-4B70-9B6C-1BF1589C8AF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D-940E-41A3-9BD0-604611080B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4BFBE88-A3BA-4C8E-9EAF-73BD2492195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E-940E-41A3-9BD0-604611080B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679A692-C912-40F0-823B-A0630AAF5A7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F-940E-41A3-9BD0-604611080B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771F6BE-135A-4695-8E83-6FB757B3D2A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0-940E-41A3-9BD0-604611080B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65F3486-7232-40AE-9E27-77B39479260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1-940E-41A3-9BD0-604611080B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BC302A-62BB-4631-A4C4-1C9813BC48D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2-940E-41A3-9BD0-604611080B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696598F-F5EB-4438-8C9D-4C71AB6D958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3-940E-41A3-9BD0-604611080B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CFC0E5-57D5-456F-95E1-F8266CD6DB0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4-940E-41A3-9BD0-604611080B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4132BF-954B-4F91-A1F9-82B1D338BD4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5-940E-41A3-9BD0-604611080B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A7C5D5-57FE-43E7-B86A-DE4F189A517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6-940E-41A3-9BD0-604611080B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F44BE29-627F-4985-91BA-B550EA03FCB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7-940E-41A3-9BD0-604611080B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457695-BF34-40BC-B8C6-C3D186ECE63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8-940E-41A3-9BD0-604611080B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B7C874-F715-4B64-AD74-78B44045B2D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9-940E-41A3-9BD0-604611080B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316531B-151C-4E16-AB30-9D478B7E639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A-940E-41A3-9BD0-604611080B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36C480B-BCE9-4751-BDBE-241F8F271C7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B-940E-41A3-9BD0-604611080B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668863C-4010-4F3B-A079-6713CE79DBA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C-940E-41A3-9BD0-604611080B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B36B52E-06AD-4DFE-B47D-4893CCC98D0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D-940E-41A3-9BD0-604611080B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A6C320A-E1FD-422E-B11E-3BBC7F0CF59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E-940E-41A3-9BD0-604611080B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5790F80-D74F-4FCC-81DA-1F0E731E135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F-940E-41A3-9BD0-604611080B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89ADE74-D630-4C91-AB7B-135BCC73162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0-940E-41A3-9BD0-604611080B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23F4469-3389-4F64-946F-79B0F4E50E6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1-940E-41A3-9BD0-604611080B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F5D99B-D074-483E-9BE8-EC06EB35A15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2-940E-41A3-9BD0-604611080B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FF46375-EE01-41E1-A8F3-7DB156DCE6C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3-940E-41A3-9BD0-604611080B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B0EFC53-96F6-42FD-B4F5-A546A10420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4-940E-41A3-9BD0-604611080B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C9E9F0-3FAE-42CF-AE3A-35648ECBA7D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5-940E-41A3-9BD0-604611080B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E12C70-F453-4402-8359-279D9522A4E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6-940E-41A3-9BD0-604611080B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83A47CD-4F0B-4C88-934F-D1CC9965C9D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7-940E-41A3-9BD0-604611080B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11003A-9CEA-45FB-ABBA-C1764470B07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8-940E-41A3-9BD0-604611080B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1A1A99-E7F0-4549-B9BB-29A2EC13103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9-940E-41A3-9BD0-604611080B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EAA3732-A843-462E-A611-832C54D682F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A-940E-41A3-9BD0-604611080B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C16E8D2-66D0-42D1-B802-5860D7677FD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B-940E-41A3-9BD0-604611080B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2547F3D-B209-4AA2-A9D3-4B02F263C0B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C-940E-41A3-9BD0-604611080B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9EAEAC8-5FD6-417F-97A9-AD89EF4C9F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D-940E-41A3-9BD0-604611080B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44B92B-4950-4071-917B-EF314DC0726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E-940E-41A3-9BD0-604611080B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CE8950B-6053-41B6-B649-5D0D9326488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F-940E-41A3-9BD0-604611080B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DF29A3B-C73B-4249-9A87-BCA51476083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0-940E-41A3-9BD0-604611080B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46968B-5F5A-45F9-8D65-0251573BC5A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1-940E-41A3-9BD0-604611080B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AF12CF6-798B-482B-B3E0-1E0451662C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2-940E-41A3-9BD0-604611080B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EB2545E-D26C-40A4-927D-6FD2DEA916D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3-940E-41A3-9BD0-604611080B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1DFFE1B-C823-4623-8FDD-6A2F0A0FC6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4-940E-41A3-9BD0-604611080B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D0C4C37-2ED5-4032-AFF2-3CC9855CBB8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5-940E-41A3-9BD0-604611080B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8D93D48-A4CC-43E6-AE4B-060965C18EC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6-940E-41A3-9BD0-604611080B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DD027EF-5B07-47C0-ACA9-E8C193A21F6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7-940E-41A3-9BD0-604611080B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F04DEC7-0FED-481B-9D6B-8305A51EBFB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8-940E-41A3-9BD0-604611080B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B97ED50-A75A-4E9E-822C-ED4A1905461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9-940E-41A3-9BD0-604611080B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DDCE14F-51B4-4B47-BCFA-0DF76203102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A-940E-41A3-9BD0-604611080B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D120FED-8FD6-4BEC-B491-DEA91EFF30B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B-940E-41A3-9BD0-604611080B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007C11E-AED8-4BE4-9EF4-9DE580C4701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C-940E-41A3-9BD0-604611080B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A054316-32BA-4CA3-B6CE-BF03B03BE9B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D-940E-41A3-9BD0-604611080B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4447E5-79B3-4CA9-9DAE-0F148031553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E-940E-41A3-9BD0-604611080B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48CDCFA-A115-450C-9350-17451ED212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F-940E-41A3-9BD0-604611080B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4B0A364-CE9F-4D9D-A3B7-409BCDDF674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0-940E-41A3-9BD0-604611080B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7E72E53-A0A6-4530-A522-3C6CEC11E2A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1-940E-41A3-9BD0-604611080B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DD6F633-74DA-4B20-AB6B-18EB3469085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2-940E-41A3-9BD0-604611080B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A4190F-9E0B-4340-9AD5-E90F84EA4E0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3-940E-41A3-9BD0-604611080B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1FE74C-5564-4F14-9004-6E418D75C1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4-940E-41A3-9BD0-604611080B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E1E9CDE-2F95-4BF2-BE46-1A08AA5B0A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5-940E-41A3-9BD0-604611080B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E3D2B28-7FB0-4806-A130-26620D2BCB0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6-940E-41A3-9BD0-604611080B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8960A2-A719-481D-9985-2611E66A77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7-940E-41A3-9BD0-604611080B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D61E809-4095-4A3B-A6B2-76504072BCD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8-940E-41A3-9BD0-604611080B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BB8CE46-BF30-40AA-94E4-7AE9C801BB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9-940E-41A3-9BD0-604611080B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E87D0EB-3D3D-4B5B-928E-F8971292A88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A-940E-41A3-9BD0-604611080B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5762C79-491B-41B3-AE22-F4FA1A0B13C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B-940E-41A3-9BD0-604611080B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D4CFA9D-0195-409B-9E4D-4D9A86989FD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C-940E-41A3-9BD0-604611080B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7D409A1-B954-4467-AB00-405B1714737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D-940E-41A3-9BD0-604611080B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85C6046-C948-4403-B0F3-EC65B211A7C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E-940E-41A3-9BD0-604611080B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47BD561-34A2-4CB2-8704-5AE2BD83FAC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F-940E-41A3-9BD0-604611080B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1370AD-EF95-4EA4-898B-D6275EAAA0E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0-940E-41A3-9BD0-604611080B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32D7B3-134B-47C6-A777-52BD1997D0C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1-940E-41A3-9BD0-604611080B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CE57445-962A-491E-BE97-06A7D4C6C57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2-940E-41A3-9BD0-604611080B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19D326-5AB3-4A2A-9ABA-49454D3F85D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3-940E-41A3-9BD0-604611080B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88753C-5529-448D-A04B-1123EE31884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4-940E-41A3-9BD0-604611080B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5BD203C-1E67-4151-821A-20D0D6247C1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5-940E-41A3-9BD0-604611080B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246C47A-AF54-41C1-ADBC-BD8A71287BD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6-940E-41A3-9BD0-604611080B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08B232-F13B-4A36-8914-5667E08B839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7-940E-41A3-9BD0-604611080B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8E4B74-1D41-4E81-8B1C-BA0C5E7C0DA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8-940E-41A3-9BD0-604611080B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AC49C92-5A2F-4DC1-B894-4D8A57E214F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9-940E-41A3-9BD0-604611080B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BCDDE09-0E5E-4291-A881-76CC857F125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A-940E-41A3-9BD0-604611080B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FD44921-8D88-47C1-91A1-E53698DEA74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B-940E-41A3-9BD0-604611080B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A3CB2ED-F142-461B-8196-E6DD924E852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C-940E-41A3-9BD0-604611080B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8DDD2D1-2CAB-42D2-A910-1FFB2924ED3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D-940E-41A3-9BD0-604611080B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2F78A1A-65C8-4A55-81CF-90428CCD6EF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E-940E-41A3-9BD0-604611080B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642BAC6-1D36-4756-9FCD-C2D372EBCDA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F-940E-41A3-9BD0-604611080B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0944CE7-CD18-44AA-B81A-7419FA28339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0-940E-41A3-9BD0-604611080B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DCF8036-8754-4A1F-BA64-0CA15862F34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1-940E-41A3-9BD0-604611080B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7B52641-849E-4441-8AD6-4A81D11A200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2-940E-41A3-9BD0-604611080B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595D8EA-3284-4ED0-BEE5-CD65573C301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3-940E-41A3-9BD0-604611080B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B06CC0-058E-4A8B-A251-C68810B7DE0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4-940E-41A3-9BD0-604611080B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75DCDFB-C318-4AB0-940F-6DB8D66D806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5-940E-41A3-9BD0-604611080B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B39DB4A-024A-4096-BF21-CCE495DDB7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6-940E-41A3-9BD0-604611080B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E6C384-1323-4291-8D6F-F432CE1D5C6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7-940E-41A3-9BD0-604611080B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D9D4B5D-598C-46A2-BB23-F3A8B0216A4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8-940E-41A3-9BD0-604611080B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79EA24D-1746-4C51-BCCA-5B3117BD66B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9-940E-41A3-9BD0-604611080B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0036187-2B29-4430-95B8-3B533490C0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A-940E-41A3-9BD0-604611080B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AF24BE3-8AE2-4819-A00A-45B525C32E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B-940E-41A3-9BD0-604611080B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BF712DA-BB13-407D-AADA-3004E9FBF30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C-940E-41A3-9BD0-604611080B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3EECF7-0951-46C9-AB4F-FB54809A96E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D-940E-41A3-9BD0-604611080B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5063B87-1E65-4A28-B21F-BA13B7B94D7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E-940E-41A3-9BD0-604611080B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A13E70E-F80D-449E-B742-E5226035BEE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F-940E-41A3-9BD0-604611080B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5636E3-F44D-4FD1-8D8B-0F53481D85F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0-940E-41A3-9BD0-604611080B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C8A80B-8F21-4BE6-AF33-8403F475553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1-940E-41A3-9BD0-604611080B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E172569-55A8-46B6-9BD1-420667766C8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2-940E-41A3-9BD0-604611080B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A7DD47-3614-4988-BEDC-B097D8E431E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3-940E-41A3-9BD0-604611080B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44F0D2-996C-4F6D-9FBD-2B4DFAA9A74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4-940E-41A3-9BD0-604611080B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71FB46E-A027-4F71-8C2D-C667D95130E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5-940E-41A3-9BD0-604611080B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C4686A4-4B12-4397-9EC0-114E16E7D2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6-940E-41A3-9BD0-604611080B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41CBF62-7BF3-46D0-8DF8-91DF6AC7D64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7-940E-41A3-9BD0-604611080B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5E4495-6A4F-41A2-85C0-BF01A68D85B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8-940E-41A3-9BD0-604611080B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BA265FE-7CF1-4362-8288-D170FF759D8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9-940E-41A3-9BD0-604611080B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3ACFD49-C817-4CB9-9F87-37962338B3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A-940E-41A3-9BD0-604611080B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7085C8D-A786-456B-98CC-00C15B82A18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B-940E-41A3-9BD0-604611080B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134BE68-4A46-4EBC-9C8C-A41F7A46214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C-940E-41A3-9BD0-604611080B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C1870B3-1100-4DDF-851A-173505B5130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D-940E-41A3-9BD0-604611080B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D995B09-AB0D-4392-842A-1BAB167FF15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E-940E-41A3-9BD0-604611080B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68EF4E3-E21D-4C25-A586-9548055AB5C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F-940E-41A3-9BD0-604611080B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DE43F94-4DCC-4879-B9E2-6504C7AD403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0-940E-41A3-9BD0-604611080B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11FCD3D-E08C-41F5-84E2-1E010ED722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1-940E-41A3-9BD0-604611080B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ECA72B8-C989-4CF0-9B7A-423619198D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2-940E-41A3-9BD0-604611080B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8B84E99-9992-40B7-A370-A116DE39118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3-940E-41A3-9BD0-604611080B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98E55FD-C766-42E7-AF97-3B8EA17BA0A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4-940E-41A3-9BD0-604611080B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199E30C-7E93-4AE5-B276-0AD0404BB5C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5-940E-41A3-9BD0-604611080B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E1B3715-343D-4EAC-8B8B-5F2AE8A3102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6-940E-41A3-9BD0-604611080B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42A279F-1F44-4DA7-A0C7-C6086FE2820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7-940E-41A3-9BD0-604611080B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EB51F5-0159-4C11-8CFE-7347192AB6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8-940E-41A3-9BD0-604611080B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00D61CF-33E9-4E56-A856-29416C1B815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9-940E-41A3-9BD0-604611080B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B83B99B-5827-41C7-A74B-5D6C03BC83C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A-940E-41A3-9BD0-604611080B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542E4B9-8416-43A1-A90C-5B6091F50E5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B-940E-41A3-9BD0-604611080B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779AC87-9A79-4E29-A0C5-D88980AF167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C-940E-41A3-9BD0-604611080B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947A57A-9D9D-4B9E-A2A5-4E21300A5BE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D-940E-41A3-9BD0-604611080B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36A7B4E-0B51-41C3-B0A2-2899BCFB026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E-940E-41A3-9BD0-604611080B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F86E3ED-B060-4702-8F4D-D2BD48B55B4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F-940E-41A3-9BD0-604611080B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4703DF6-DB35-4A93-85ED-FE2589039AD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0-940E-41A3-9BD0-604611080B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04BF914-D074-4A45-8ABE-08861442CA3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1-940E-41A3-9BD0-604611080B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AFD9E68-0FB9-4AD0-865B-14E8F31C177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2-940E-41A3-9BD0-604611080B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A6DD67B-269D-4201-B07D-59EE9E4722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3-940E-41A3-9BD0-604611080B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6D75202-717B-4548-87A1-7C91D8F3634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4-940E-41A3-9BD0-604611080B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7FC1CD-974B-4300-8310-47BB6A8622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5-940E-41A3-9BD0-604611080B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2F5BA59-FE30-42AD-A669-5F7BC3E6110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6-940E-41A3-9BD0-604611080B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39C28C6-39E7-431B-898A-F0EDD38FA2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7-940E-41A3-9BD0-604611080B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B14CA28-C269-42C4-A5B8-0BD7682D180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8-940E-41A3-9BD0-604611080B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C03B23E-6F6D-4E78-9B81-F0ED553D882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9-940E-41A3-9BD0-604611080B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C1A94D-D079-4C80-92B7-98EA27E7F7F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A-940E-41A3-9BD0-604611080B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DACFDE9-1376-45F6-A22E-92CE977601C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B-940E-41A3-9BD0-604611080B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BF4ACA4-8755-4F5E-8A62-1BD5E4B06B0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C-940E-41A3-9BD0-604611080B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52422A6-A49F-4670-AAAB-A9FBF75328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D-940E-41A3-9BD0-604611080B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71EB5C4-BFA7-487F-865D-48403273048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E-940E-41A3-9BD0-604611080B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5506A14-14DE-421C-B761-095E24D4563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F-940E-41A3-9BD0-604611080B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286F4BE-5B3C-4F2A-9DFF-A3504E38933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0-940E-41A3-9BD0-604611080B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22470F8-E38D-4F81-811F-808FFAD8304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1-940E-41A3-9BD0-604611080B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7F95098-CD59-417A-819E-003B4DCB552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2-940E-41A3-9BD0-604611080B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2E80193-7C31-470A-BA47-A5465D023F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3-940E-41A3-9BD0-604611080B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01BC654-6AB1-46B9-9506-39F71316131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4-940E-41A3-9BD0-604611080B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F448253-FA62-4290-8261-28233B36641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5-940E-41A3-9BD0-604611080B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DB689E0-C3DD-4E4A-871F-7AC24DA4C2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6-940E-41A3-9BD0-604611080B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FEBA4C1-F36D-40D4-AC5E-1DB68CB6C0A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7-940E-41A3-9BD0-604611080B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AB045BC-B5A9-483D-AF15-59B35A32481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8-940E-41A3-9BD0-604611080B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49ACB0-A19B-4026-B200-80662FCEFE2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9-940E-41A3-9BD0-604611080B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5AF164-3B9A-43AB-814C-EE610BB8195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A-940E-41A3-9BD0-604611080B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6250276-5ABF-4FC7-BF98-9B63AD272FF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B-940E-41A3-9BD0-604611080B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fld id="{267FC9C0-F3BD-4B5E-AA9C-FC98194543D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C-940E-41A3-9BD0-604611080B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fld id="{FE2F9946-41A2-4C78-9E43-2326A2BDC77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D-940E-41A3-9BD0-604611080B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fld id="{6D0CF723-B0B7-40A4-9E9A-6307B92A04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E-940E-41A3-9BD0-604611080B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fld id="{2BBFA0A4-5DBE-4998-9811-25F921EAAF2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F-940E-41A3-9BD0-604611080B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fld id="{CFE99A09-D9C0-4845-ACAC-83C634F063A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0-940E-41A3-9BD0-604611080B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fld id="{92183B5A-8DA7-420F-89E9-A57BF391BE6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1-940E-41A3-9BD0-604611080B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fld id="{A2B7B472-7E24-4498-B3DE-526761B94D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2-940E-41A3-9BD0-604611080B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fld id="{A46F1280-AF6D-451A-B7AE-09E9B0CBE1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3-940E-41A3-9BD0-604611080B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fld id="{E1AA43D5-0268-4DF1-B93D-16B1AA03B3D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4-940E-41A3-9BD0-604611080B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fld id="{CDAE033D-D03E-4418-9323-DCBA9573673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5-940E-41A3-9BD0-604611080B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fld id="{C2C76F01-73C0-4BB6-9B4E-6B8A1E300C1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6-940E-41A3-9BD0-604611080B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fld id="{11207AFA-8B34-4ED7-816A-4D030C1A500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7-940E-41A3-9BD0-604611080B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fld id="{48A4F33B-F13D-40AC-B1F4-20A84E66F83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8-940E-41A3-9BD0-604611080B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fld id="{E4CF2601-9D28-4711-B661-51C92D696BA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9-940E-41A3-9BD0-604611080B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fld id="{8F5715A8-0E47-4122-87FE-777F3602774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A-940E-41A3-9BD0-604611080B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fld id="{CFB67BC6-4540-4EFC-9EDA-0E623C1407A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B-940E-41A3-9BD0-604611080B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fld id="{ECF9EE13-4D35-4EF2-9AF6-A0CA0220A95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C-940E-41A3-9BD0-604611080B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fld id="{3825EEE3-C92F-46BC-B123-116683BA81D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D-940E-41A3-9BD0-604611080B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fld id="{B8D92DD6-6A5E-41B4-9DCA-C9E86EA865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E-940E-41A3-9BD0-604611080B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fld id="{B5DA4BC2-5E30-4C81-856D-1ECAB69FC07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F-940E-41A3-9BD0-604611080B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fld id="{2ED5178F-F7E5-4C30-B727-D18D25BC9E0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0-940E-41A3-9BD0-604611080B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fld id="{FDA5528A-C390-4203-A22E-85693683991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1-940E-41A3-9BD0-604611080B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fld id="{CD8F9B41-7510-495D-9F3A-6119927841C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2-940E-41A3-9BD0-604611080B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fld id="{A97F39D0-DB18-49AE-B4A1-8EECA65287F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3-940E-41A3-9BD0-604611080B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fld id="{1027A656-F727-4CBD-B507-61CC8F986BF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4-940E-41A3-9BD0-604611080B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fld id="{F62D7327-BF07-4F8C-BA1E-8A60D08D46D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5-940E-41A3-9BD0-604611080B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fld id="{25223959-343B-45AF-8D22-27C289BB0AC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6-940E-41A3-9BD0-604611080B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fld id="{0D91E8BD-16AB-42F1-9A9B-654B8DA9BB6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7-940E-41A3-9BD0-604611080B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fld id="{D498A1A3-34EF-42D8-984F-58CB0C11C64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8-940E-41A3-9BD0-604611080B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fld id="{484A1BEA-6FFA-4674-B1F8-2C083042823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9-940E-41A3-9BD0-604611080B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fld id="{B5C0BA46-6470-4755-B6AC-013DDD2ADFF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A-940E-41A3-9BD0-604611080B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fld id="{25E61C7C-A3F7-48F2-994F-152AF58DA8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B-940E-41A3-9BD0-604611080B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fld id="{6091EE1A-615C-48EC-8BC4-8FACC26EF81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C-940E-41A3-9BD0-604611080B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fld id="{E9268321-39AC-4A8E-97BB-07C575CA67A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D-940E-41A3-9BD0-604611080B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fld id="{DC41774C-7E26-483D-B494-678AFF0F640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E-940E-41A3-9BD0-604611080B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fld id="{BDCA8563-945A-4DE8-8170-8D25F0587DF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F-940E-41A3-9BD0-604611080B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fld id="{6B8749E6-0090-4025-9DD7-A1B011EA49D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0-940E-41A3-9BD0-604611080B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fld id="{2E2314C8-6D39-4C8D-A019-A8A0ABA182F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1-940E-41A3-9BD0-604611080B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fld id="{EAE2BAE0-2F27-49B8-A8D8-723979CBFF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2-940E-41A3-9BD0-604611080B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fld id="{392A7140-1630-4E68-83BC-44D3B068A6B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3-940E-41A3-9BD0-604611080B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fld id="{F4EABAD5-C8D1-4310-8C14-5C9EAF64ED8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4-940E-41A3-9BD0-604611080B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fld id="{87510351-0FF6-4F1B-B5CB-489E06CD07E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5-940E-41A3-9BD0-604611080B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fld id="{0812D985-D308-4ED6-8E32-C464FD583EE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6-940E-41A3-9BD0-604611080B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fld id="{126CF3BD-1E5C-4BDA-BF95-0B71727E184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7-940E-41A3-9BD0-604611080B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fld id="{D990AF37-EA7F-4965-AC5D-7DA3340BE24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8-940E-41A3-9BD0-604611080B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fld id="{61524577-44CF-4BFD-B118-5FCB3B93135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9-940E-41A3-9BD0-604611080B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fld id="{0E14611F-39B5-4F6B-95BE-47C8DA73EAC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A-940E-41A3-9BD0-604611080B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fld id="{86843453-748C-48B5-95A9-F715933D37B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B-940E-41A3-9BD0-604611080B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fld id="{B9045490-1B23-4C90-8CA0-9316C75C79B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C-940E-41A3-9BD0-604611080B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fld id="{47DA14A6-B650-48D9-8910-E1D6A28FBA5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D-940E-41A3-9BD0-604611080B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fld id="{520C8FDB-4160-4029-AC34-74E86C4D812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E-940E-41A3-9BD0-604611080B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fld id="{36896DC8-BCC4-465F-A5DA-A1A530389CD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F-940E-41A3-9BD0-604611080B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fld id="{9E06B566-0ED6-4076-A2D5-3C2AE8DC1F9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0-940E-41A3-9BD0-604611080B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fld id="{1C2F7186-EBA5-43FF-B16E-91A740A3746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1-940E-41A3-9BD0-604611080B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fld id="{D4DFB831-92C2-4A71-A806-C504CAA159F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2-940E-41A3-9BD0-604611080B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fld id="{C9F2DB69-3C32-4C59-B2AD-211140C0698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3-940E-41A3-9BD0-604611080B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fld id="{82F5C889-58FD-44E7-A7D9-25F15545FF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4-940E-41A3-9BD0-604611080B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fld id="{CF9A37A0-DB87-43EC-8EEB-F62656A6569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5-940E-41A3-9BD0-604611080B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fld id="{0D9857AE-F2BF-4722-A4F7-8382868EEBE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6-940E-41A3-9BD0-604611080B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fld id="{26F6E4AE-0EBF-490C-AE96-105A8064099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7-940E-41A3-9BD0-604611080B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fld id="{4EECE20C-00B3-4F04-AB37-37C7BCE70ED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8-940E-41A3-9BD0-604611080B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fld id="{B0E258A5-40B6-455D-BD8D-5D46C39E5D6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9-940E-41A3-9BD0-604611080B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fld id="{C8309F6B-7D41-484B-B46B-54CFF24FD50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A-940E-41A3-9BD0-604611080B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fld id="{B010D270-6111-4573-9E18-128F2199CA9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B-940E-41A3-9BD0-604611080B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fld id="{20B2AD10-C9FE-4523-9F18-3A8EE11CB6E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C-940E-41A3-9BD0-604611080B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fld id="{F98BF3E6-C829-4845-8470-4F6CAE2811A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D-940E-41A3-9BD0-604611080B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fld id="{A3B17739-20E4-44B4-ACB8-EF22BBB5FB9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E-940E-41A3-9BD0-604611080B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fld id="{8243C8EB-00BA-4431-A732-7533A109BE1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F-940E-41A3-9BD0-604611080B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fld id="{EBAA0059-F5B0-4CC2-9AA8-F9F14E3D205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0-940E-41A3-9BD0-604611080B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fld id="{12362110-1DE8-4174-9504-B14CC2F4198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1-940E-41A3-9BD0-604611080B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fld id="{BDC28C3B-BE31-49AF-86FA-84C6D8D93AE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2-940E-41A3-9BD0-604611080B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fld id="{9DA60BF3-B199-476F-8002-2AF3C6509FE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3-940E-41A3-9BD0-604611080B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fld id="{0674237F-CEEE-43B8-9B4C-5250AFD5823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4-940E-41A3-9BD0-604611080B4B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fld id="{2FD91FF4-B66E-470C-A9E8-A7CF3E606ED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5-940E-41A3-9BD0-604611080B4B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fld id="{B8CEAD07-8CF5-453B-BAE4-7FAA9CABEDA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6-940E-41A3-9BD0-604611080B4B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fld id="{607526AC-C60F-4A07-B5E6-3E40345D74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7-940E-41A3-9BD0-604611080B4B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fld id="{06D7EC16-06AF-4340-A386-4EA54231C18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8-940E-41A3-9BD0-604611080B4B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fld id="{EEF9C33A-FF03-4DF8-9BDD-D724A8CEE59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9-940E-41A3-9BD0-604611080B4B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fld id="{B1FFB165-C737-4C4F-A1CE-53664E51AB9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A-940E-41A3-9BD0-604611080B4B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fld id="{468E06C3-B2FE-428C-9C8B-C3F9F2E29C0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B-940E-41A3-9BD0-604611080B4B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fld id="{B3BE46E1-797D-4233-B090-41B3110D145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C-940E-41A3-9BD0-604611080B4B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fld id="{62AA9905-7B36-488E-8D9B-55464A66E75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D-940E-41A3-9BD0-604611080B4B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fld id="{4D47091F-8CD2-4120-A3DC-C7BC2D799C7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E-940E-41A3-9BD0-604611080B4B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fld id="{885FFDF1-7486-4983-A08D-CB0FA874BF4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F-940E-41A3-9BD0-604611080B4B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fld id="{369C912F-037D-4A97-8A6F-B3F8698123E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0-940E-41A3-9BD0-604611080B4B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fld id="{DA2960D9-E736-4867-B3E1-FEDB26EC26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1-940E-41A3-9BD0-604611080B4B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fld id="{9471AE14-0E19-4736-81FF-BEB673494A4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2-940E-41A3-9BD0-604611080B4B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fld id="{9B873088-F26E-4C4A-BA76-9D02C627812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3-940E-41A3-9BD0-604611080B4B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fld id="{23391C76-F26B-4DF3-A56F-230E95C6F1A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4-940E-41A3-9BD0-604611080B4B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fld id="{5BDC15D2-1F2A-4E20-9DF6-24CE93F83A3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5-940E-41A3-9BD0-604611080B4B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fld id="{F9F366C5-A33B-4764-8584-F3C8F7F7068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6-940E-41A3-9BD0-604611080B4B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fld id="{D41D82D3-EDAC-4D2A-B546-5D065DB562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7-940E-41A3-9BD0-604611080B4B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fld id="{C0489A30-5EA3-47B1-9946-7A5178DCD70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8-940E-41A3-9BD0-604611080B4B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fld id="{5B579BCE-FA9C-47A3-86A4-C0DC430C28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9-940E-41A3-9BD0-604611080B4B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fld id="{C0AA53B7-0BF5-490B-A425-F04AFE7BF90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A-940E-41A3-9BD0-604611080B4B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fld id="{76C3F7A2-67AC-4458-ABFF-F2B9D9DA97B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B-940E-41A3-9BD0-604611080B4B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fld id="{56C82B70-8898-4C3F-BC20-E8560042EDE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C-940E-41A3-9BD0-604611080B4B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fld id="{9EE9632C-96BA-45E9-B944-9BD3B164324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D-940E-41A3-9BD0-604611080B4B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fld id="{57522B9E-A595-4BBA-831B-E494835C748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E-940E-41A3-9BD0-604611080B4B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fld id="{94E66F24-0318-46A0-962B-5F340904BA0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F-940E-41A3-9BD0-604611080B4B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fld id="{51D28195-91CF-489A-B42B-009D564403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0-940E-41A3-9BD0-604611080B4B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fld id="{19A4CE67-20FD-4EE3-B22C-32A7FD8B3E7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1-940E-41A3-9BD0-604611080B4B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fld id="{FBC0759A-4927-48E1-999F-B9814D3E4E1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2-940E-41A3-9BD0-604611080B4B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fld id="{CEACE3E1-2A09-42D0-A926-EA17970E9E9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3-940E-41A3-9BD0-604611080B4B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fld id="{58C23321-FF33-44F8-90A1-D34C641A7A8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4-940E-41A3-9BD0-604611080B4B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fld id="{9DDB957E-EC5E-4094-90DF-B96CFDB23A0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5-940E-41A3-9BD0-604611080B4B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fld id="{B2ACCEC3-BBCA-4B99-A2AF-20BF1984FF9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6-940E-41A3-9BD0-604611080B4B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fld id="{1A7974BB-E56B-4BD1-B14C-F3B26AE7B1C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7-940E-41A3-9BD0-604611080B4B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fld id="{14C03340-2779-4CC4-94E9-24E775F49BC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8-940E-41A3-9BD0-604611080B4B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fld id="{2A135848-C31A-4363-8C24-7241EB13EA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9-940E-41A3-9BD0-604611080B4B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fld id="{7B05508C-4E75-4AD8-9F57-EE6F13B675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A-940E-41A3-9BD0-604611080B4B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fld id="{F9C679D3-3154-4FF1-ADF0-709525B177D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B-940E-41A3-9BD0-604611080B4B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fld id="{D1900952-161C-465E-BF6D-1833EDD9D6D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C-940E-41A3-9BD0-604611080B4B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fld id="{F11A4F85-FE6F-4CB4-9549-5145E44BDD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D-940E-41A3-9BD0-604611080B4B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fld id="{1D90BF4F-C8D8-44DB-B917-CC6D61EF617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E-940E-41A3-9BD0-604611080B4B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fld id="{BF9D328C-BDF8-46B5-BC63-A465F170456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F-940E-41A3-9BD0-604611080B4B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fld id="{EB0B1952-FBE4-4516-A367-94AC533F082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0-940E-41A3-9BD0-604611080B4B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fld id="{26148382-A625-4F72-BA11-148987F3A6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1-940E-41A3-9BD0-604611080B4B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fld id="{5350D157-E9B6-48B7-A99A-BDB23357358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2-940E-41A3-9BD0-604611080B4B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fld id="{7DC263F5-E31F-49D0-908A-67EAA740B2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3-940E-41A3-9BD0-604611080B4B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fld id="{34D4C605-34C4-4E93-BC4E-6FE20728F71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4-940E-41A3-9BD0-604611080B4B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fld id="{D902DBFE-20E9-4B7B-897F-EF92B25B407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5-940E-41A3-9BD0-604611080B4B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fld id="{3C97F6E7-3EAC-4B50-9292-AA11FE97027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6-940E-41A3-9BD0-604611080B4B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fld id="{7265D311-4451-49C8-9EA4-6089C5FB8ED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7-940E-41A3-9BD0-604611080B4B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fld id="{E3FCC422-7D58-4D27-A5D9-FC74104FDFB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8-940E-41A3-9BD0-604611080B4B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fld id="{7EAE17EA-F67E-4D43-868A-CF89A134EF2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9-940E-41A3-9BD0-604611080B4B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fld id="{09997F1A-5C26-481E-B5DD-AD82B0D6213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A-940E-41A3-9BD0-604611080B4B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fld id="{5EFF341A-5AD3-4C27-A56E-46BCB4B2073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B-940E-41A3-9BD0-604611080B4B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fld id="{E05F234B-0A47-4E21-A207-1B1E9A5B3BC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C-940E-41A3-9BD0-604611080B4B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fld id="{830EEA72-4AEE-43C8-A5E8-1A2B451A7C4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D-940E-41A3-9BD0-604611080B4B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fld id="{4C55C190-9A8C-414F-A8C9-500DFB88CE3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E-940E-41A3-9BD0-604611080B4B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fld id="{299E1C9E-48E8-4359-A4B0-6ED0F6F3781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F-940E-41A3-9BD0-604611080B4B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fld id="{7B5C8777-4289-4C76-B506-9A9DCD34950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0-940E-41A3-9BD0-604611080B4B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fld id="{0D774B76-749C-4D7F-BFA0-C5D2B417A9E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1-940E-41A3-9BD0-604611080B4B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fld id="{7E7DC9E7-2F5B-4344-8744-F14C178E86A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2-940E-41A3-9BD0-604611080B4B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fld id="{DD8602DE-9A62-416E-A45D-617E464ABD6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3-940E-41A3-9BD0-604611080B4B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fld id="{2BB7C815-564A-4F08-AC5A-500D06F0829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4-940E-41A3-9BD0-604611080B4B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fld id="{6F5B4711-41D5-4542-BF33-D3EF8B80F19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5-940E-41A3-9BD0-604611080B4B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fld id="{B6CE67E8-1FCE-4C2F-AE94-C57896482BA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6-940E-41A3-9BD0-604611080B4B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fld id="{EF30CBD0-8678-4D20-9719-74B3FA55C2C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7-940E-41A3-9BD0-604611080B4B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fld id="{EE8E70E3-DA20-4322-BFCB-D2A8CD9505A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8-940E-41A3-9BD0-604611080B4B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fld id="{E7A8E9F1-BA18-4855-8DF8-CD9049A77D3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9-940E-41A3-9BD0-604611080B4B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fld id="{0D75A305-046C-4BB4-8DBC-0781914669C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A-940E-41A3-9BD0-604611080B4B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fld id="{82E928B5-8789-4220-B6FB-7BAEFF56CE3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B-940E-41A3-9BD0-604611080B4B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fld id="{17C23A86-6DB8-4FF8-A294-229C7D6E11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C-940E-41A3-9BD0-604611080B4B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fld id="{EFA4F3FC-32AD-4368-85E4-FC504EDFAA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D-940E-41A3-9BD0-604611080B4B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fld id="{EBF1CC30-7386-4AA5-B4C5-10DAFBF706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E-940E-41A3-9BD0-604611080B4B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fld id="{6C67B9CB-A20D-46A1-A172-A746187BB75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FF-940E-41A3-9BD0-604611080B4B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fld id="{35D0B62B-C537-43CD-9E31-26F0C38E857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0-940E-41A3-9BD0-604611080B4B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fld id="{7A07DD12-74D3-458A-AC5F-D632C4446B5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1-940E-41A3-9BD0-604611080B4B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fld id="{F0CDE70E-CD76-437E-98BA-17334D2AEAE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2-940E-41A3-9BD0-604611080B4B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fld id="{524A6AFF-99F3-4888-B4AB-5707A3D690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3-940E-41A3-9BD0-604611080B4B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fld id="{0A25746E-9E91-4AD8-B65A-6B65D4919B1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4-940E-41A3-9BD0-604611080B4B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fld id="{E56C97A3-AC79-4681-8496-1728FB51973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5-940E-41A3-9BD0-604611080B4B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fld id="{FCF02592-B035-443B-AFB2-6247F747A5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6-940E-41A3-9BD0-604611080B4B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fld id="{1789D187-7AD2-4F60-8463-72138684AF5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7-940E-41A3-9BD0-604611080B4B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fld id="{B3C058CC-379B-4B80-9FBA-1735384834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8-940E-41A3-9BD0-604611080B4B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fld id="{4C4C3A0E-D117-459D-881A-96BC27FFAB6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9-940E-41A3-9BD0-604611080B4B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fld id="{C4112CA8-C418-443A-A00D-780E26804FF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A-940E-41A3-9BD0-604611080B4B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fld id="{9C2DC619-0339-4D5C-873F-26C0FFF257B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B-940E-41A3-9BD0-604611080B4B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fld id="{05D2CA99-0C68-45AD-A3EE-C7EF2502C64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C-940E-41A3-9BD0-604611080B4B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fld id="{94E1A732-C721-4F3E-8E32-40CB4E187E3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D-940E-41A3-9BD0-604611080B4B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fld id="{739D68E4-F904-45BD-9D6C-6A193A48760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E-940E-41A3-9BD0-604611080B4B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fld id="{48D3013B-3609-425A-A474-9B9F86AC13C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0F-940E-41A3-9BD0-604611080B4B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fld id="{5418AEAC-CA9A-434A-98A7-500D218E5E2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0-940E-41A3-9BD0-604611080B4B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fld id="{4C0A1651-3603-43B7-936C-90C519E9BD9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1-940E-41A3-9BD0-604611080B4B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fld id="{4D9810F8-F064-4642-813B-9F6349F57D9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2-940E-41A3-9BD0-604611080B4B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fld id="{800C5838-2D08-48CB-A81C-9BECA0613FA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3-940E-41A3-9BD0-604611080B4B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fld id="{304EC0D3-0604-4A9D-AAA1-11DAAF04B42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4-940E-41A3-9BD0-604611080B4B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fld id="{44B3CB14-37B3-430D-8E1F-D6D9A8254E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5-940E-41A3-9BD0-604611080B4B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fld id="{C21DD24C-5D2C-428D-AAB7-3868C5B491B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6-940E-41A3-9BD0-604611080B4B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fld id="{DB136C2B-D3B3-4A9D-AEB0-CD3CC253F2D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7-940E-41A3-9BD0-604611080B4B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fld id="{E0F27DA9-CB61-45CD-B1CA-DA31C19E0FB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8-940E-41A3-9BD0-604611080B4B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fld id="{06AD3D1F-B4DA-4E71-B9E9-F30EDD8AEF4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9-940E-41A3-9BD0-604611080B4B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fld id="{EF489173-D2F6-41A9-BC2C-9871869A399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A-940E-41A3-9BD0-604611080B4B}"/>
                </c:ext>
              </c:extLst>
            </c:dLbl>
            <c:dLbl>
              <c:idx val="401"/>
              <c:tx>
                <c:rich>
                  <a:bodyPr/>
                  <a:lstStyle/>
                  <a:p>
                    <a:fld id="{51E14E6E-51E1-4A56-9120-DBA4A48F788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B-940E-41A3-9BD0-604611080B4B}"/>
                </c:ext>
              </c:extLst>
            </c:dLbl>
            <c:dLbl>
              <c:idx val="402"/>
              <c:tx>
                <c:rich>
                  <a:bodyPr/>
                  <a:lstStyle/>
                  <a:p>
                    <a:fld id="{4049AA87-C490-4EAE-BF83-426A2E231AF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C-940E-41A3-9BD0-604611080B4B}"/>
                </c:ext>
              </c:extLst>
            </c:dLbl>
            <c:dLbl>
              <c:idx val="403"/>
              <c:tx>
                <c:rich>
                  <a:bodyPr/>
                  <a:lstStyle/>
                  <a:p>
                    <a:fld id="{B33B593E-1902-4880-9EEC-2A4CA3D981B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D-940E-41A3-9BD0-604611080B4B}"/>
                </c:ext>
              </c:extLst>
            </c:dLbl>
            <c:dLbl>
              <c:idx val="404"/>
              <c:tx>
                <c:rich>
                  <a:bodyPr/>
                  <a:lstStyle/>
                  <a:p>
                    <a:fld id="{35AECD78-3DE2-48EB-BD1B-510517878CB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E-940E-41A3-9BD0-604611080B4B}"/>
                </c:ext>
              </c:extLst>
            </c:dLbl>
            <c:dLbl>
              <c:idx val="405"/>
              <c:tx>
                <c:rich>
                  <a:bodyPr/>
                  <a:lstStyle/>
                  <a:p>
                    <a:fld id="{A870F484-5059-46FD-A86C-A2B5B90505E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1F-940E-41A3-9BD0-604611080B4B}"/>
                </c:ext>
              </c:extLst>
            </c:dLbl>
            <c:dLbl>
              <c:idx val="406"/>
              <c:tx>
                <c:rich>
                  <a:bodyPr/>
                  <a:lstStyle/>
                  <a:p>
                    <a:fld id="{13392C3D-C2FE-4957-A7B6-5C74406E0CA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0-940E-41A3-9BD0-604611080B4B}"/>
                </c:ext>
              </c:extLst>
            </c:dLbl>
            <c:dLbl>
              <c:idx val="407"/>
              <c:tx>
                <c:rich>
                  <a:bodyPr/>
                  <a:lstStyle/>
                  <a:p>
                    <a:fld id="{8C03AA9A-5F8B-4FFE-AA22-7F059DBC5AC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1-940E-41A3-9BD0-604611080B4B}"/>
                </c:ext>
              </c:extLst>
            </c:dLbl>
            <c:dLbl>
              <c:idx val="408"/>
              <c:tx>
                <c:rich>
                  <a:bodyPr/>
                  <a:lstStyle/>
                  <a:p>
                    <a:fld id="{E0B715DE-A117-48BE-9338-99BD7ACC680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2-940E-41A3-9BD0-604611080B4B}"/>
                </c:ext>
              </c:extLst>
            </c:dLbl>
            <c:dLbl>
              <c:idx val="409"/>
              <c:tx>
                <c:rich>
                  <a:bodyPr/>
                  <a:lstStyle/>
                  <a:p>
                    <a:fld id="{C77CB980-8053-49A6-A625-06EEFA491DE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3-940E-41A3-9BD0-604611080B4B}"/>
                </c:ext>
              </c:extLst>
            </c:dLbl>
            <c:dLbl>
              <c:idx val="410"/>
              <c:tx>
                <c:rich>
                  <a:bodyPr/>
                  <a:lstStyle/>
                  <a:p>
                    <a:fld id="{17CA112C-FC17-48A8-86E3-C1EFA804CDF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4-940E-41A3-9BD0-604611080B4B}"/>
                </c:ext>
              </c:extLst>
            </c:dLbl>
            <c:dLbl>
              <c:idx val="411"/>
              <c:tx>
                <c:rich>
                  <a:bodyPr/>
                  <a:lstStyle/>
                  <a:p>
                    <a:fld id="{38F3DBCA-CA45-4A1F-A07B-4387D1B8845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5-940E-41A3-9BD0-604611080B4B}"/>
                </c:ext>
              </c:extLst>
            </c:dLbl>
            <c:dLbl>
              <c:idx val="412"/>
              <c:tx>
                <c:rich>
                  <a:bodyPr/>
                  <a:lstStyle/>
                  <a:p>
                    <a:fld id="{ADE5631F-63D9-40E4-86CC-26FEEB8ED61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6-940E-41A3-9BD0-604611080B4B}"/>
                </c:ext>
              </c:extLst>
            </c:dLbl>
            <c:dLbl>
              <c:idx val="413"/>
              <c:tx>
                <c:rich>
                  <a:bodyPr/>
                  <a:lstStyle/>
                  <a:p>
                    <a:fld id="{DB42EC51-2869-4D97-A05B-4C8FE28718B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7-940E-41A3-9BD0-604611080B4B}"/>
                </c:ext>
              </c:extLst>
            </c:dLbl>
            <c:dLbl>
              <c:idx val="414"/>
              <c:tx>
                <c:rich>
                  <a:bodyPr/>
                  <a:lstStyle/>
                  <a:p>
                    <a:fld id="{FE44C704-ADAF-412A-8022-5BCC80FB7E0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8-940E-41A3-9BD0-604611080B4B}"/>
                </c:ext>
              </c:extLst>
            </c:dLbl>
            <c:dLbl>
              <c:idx val="415"/>
              <c:tx>
                <c:rich>
                  <a:bodyPr/>
                  <a:lstStyle/>
                  <a:p>
                    <a:fld id="{72D377A4-8E36-4041-93E6-94915B0E938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9-940E-41A3-9BD0-604611080B4B}"/>
                </c:ext>
              </c:extLst>
            </c:dLbl>
            <c:dLbl>
              <c:idx val="416"/>
              <c:tx>
                <c:rich>
                  <a:bodyPr/>
                  <a:lstStyle/>
                  <a:p>
                    <a:fld id="{FA77C87D-927F-479B-AB92-EB187CEC1C8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A-940E-41A3-9BD0-604611080B4B}"/>
                </c:ext>
              </c:extLst>
            </c:dLbl>
            <c:dLbl>
              <c:idx val="417"/>
              <c:tx>
                <c:rich>
                  <a:bodyPr/>
                  <a:lstStyle/>
                  <a:p>
                    <a:fld id="{34EA920B-D07C-45B9-8E6B-A081ABE4E09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B-940E-41A3-9BD0-604611080B4B}"/>
                </c:ext>
              </c:extLst>
            </c:dLbl>
            <c:dLbl>
              <c:idx val="418"/>
              <c:tx>
                <c:rich>
                  <a:bodyPr/>
                  <a:lstStyle/>
                  <a:p>
                    <a:fld id="{FBF13872-694F-4FAD-95B3-E96755371A2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C-940E-41A3-9BD0-604611080B4B}"/>
                </c:ext>
              </c:extLst>
            </c:dLbl>
            <c:dLbl>
              <c:idx val="419"/>
              <c:tx>
                <c:rich>
                  <a:bodyPr/>
                  <a:lstStyle/>
                  <a:p>
                    <a:fld id="{D74957A1-A9D7-4AA4-B568-9BCB51683A3A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D-940E-41A3-9BD0-604611080B4B}"/>
                </c:ext>
              </c:extLst>
            </c:dLbl>
            <c:dLbl>
              <c:idx val="420"/>
              <c:tx>
                <c:rich>
                  <a:bodyPr/>
                  <a:lstStyle/>
                  <a:p>
                    <a:fld id="{A2D364C0-3AD4-4B9E-B440-FB68746FBD0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E-940E-41A3-9BD0-604611080B4B}"/>
                </c:ext>
              </c:extLst>
            </c:dLbl>
            <c:dLbl>
              <c:idx val="421"/>
              <c:tx>
                <c:rich>
                  <a:bodyPr/>
                  <a:lstStyle/>
                  <a:p>
                    <a:fld id="{44873518-1D04-4000-81A3-26FC1AEEBA8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2F-940E-41A3-9BD0-604611080B4B}"/>
                </c:ext>
              </c:extLst>
            </c:dLbl>
            <c:dLbl>
              <c:idx val="422"/>
              <c:tx>
                <c:rich>
                  <a:bodyPr/>
                  <a:lstStyle/>
                  <a:p>
                    <a:fld id="{C3905D16-80CE-4672-9698-7BD0597844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0-940E-41A3-9BD0-604611080B4B}"/>
                </c:ext>
              </c:extLst>
            </c:dLbl>
            <c:dLbl>
              <c:idx val="423"/>
              <c:tx>
                <c:rich>
                  <a:bodyPr/>
                  <a:lstStyle/>
                  <a:p>
                    <a:fld id="{C1DB92D1-4BBD-465E-86EA-B376EE42B95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1-940E-41A3-9BD0-604611080B4B}"/>
                </c:ext>
              </c:extLst>
            </c:dLbl>
            <c:dLbl>
              <c:idx val="424"/>
              <c:tx>
                <c:rich>
                  <a:bodyPr/>
                  <a:lstStyle/>
                  <a:p>
                    <a:fld id="{4435F035-BFEE-4A5B-947D-F54CF50053F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2-940E-41A3-9BD0-604611080B4B}"/>
                </c:ext>
              </c:extLst>
            </c:dLbl>
            <c:dLbl>
              <c:idx val="425"/>
              <c:tx>
                <c:rich>
                  <a:bodyPr/>
                  <a:lstStyle/>
                  <a:p>
                    <a:fld id="{804B876A-B507-41E7-B4C0-698DFB9C5A8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3-940E-41A3-9BD0-604611080B4B}"/>
                </c:ext>
              </c:extLst>
            </c:dLbl>
            <c:dLbl>
              <c:idx val="426"/>
              <c:tx>
                <c:rich>
                  <a:bodyPr/>
                  <a:lstStyle/>
                  <a:p>
                    <a:fld id="{A0F57268-74C8-467B-ABCA-1E9EB017396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4-940E-41A3-9BD0-604611080B4B}"/>
                </c:ext>
              </c:extLst>
            </c:dLbl>
            <c:dLbl>
              <c:idx val="427"/>
              <c:tx>
                <c:rich>
                  <a:bodyPr/>
                  <a:lstStyle/>
                  <a:p>
                    <a:fld id="{DAB0991D-75C4-4959-8122-DE62B95E6E5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5-940E-41A3-9BD0-604611080B4B}"/>
                </c:ext>
              </c:extLst>
            </c:dLbl>
            <c:dLbl>
              <c:idx val="428"/>
              <c:tx>
                <c:rich>
                  <a:bodyPr/>
                  <a:lstStyle/>
                  <a:p>
                    <a:fld id="{D14CF683-0DE1-45C8-B0D5-49850FEBF0A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6-940E-41A3-9BD0-604611080B4B}"/>
                </c:ext>
              </c:extLst>
            </c:dLbl>
            <c:dLbl>
              <c:idx val="429"/>
              <c:tx>
                <c:rich>
                  <a:bodyPr/>
                  <a:lstStyle/>
                  <a:p>
                    <a:fld id="{7290D43D-4F8E-4EE0-95C0-2CCFB3C2E73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7-940E-41A3-9BD0-604611080B4B}"/>
                </c:ext>
              </c:extLst>
            </c:dLbl>
            <c:dLbl>
              <c:idx val="430"/>
              <c:tx>
                <c:rich>
                  <a:bodyPr/>
                  <a:lstStyle/>
                  <a:p>
                    <a:fld id="{1E1D53B8-DFD0-44BC-9D2C-6DAC6079541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8-940E-41A3-9BD0-604611080B4B}"/>
                </c:ext>
              </c:extLst>
            </c:dLbl>
            <c:dLbl>
              <c:idx val="431"/>
              <c:tx>
                <c:rich>
                  <a:bodyPr/>
                  <a:lstStyle/>
                  <a:p>
                    <a:fld id="{043D6278-495D-43A2-B3E9-680BDA203F7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9-940E-41A3-9BD0-604611080B4B}"/>
                </c:ext>
              </c:extLst>
            </c:dLbl>
            <c:dLbl>
              <c:idx val="432"/>
              <c:tx>
                <c:rich>
                  <a:bodyPr/>
                  <a:lstStyle/>
                  <a:p>
                    <a:fld id="{F6D14DEF-24B0-450F-82B4-7FDBE571BE8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A-940E-41A3-9BD0-604611080B4B}"/>
                </c:ext>
              </c:extLst>
            </c:dLbl>
            <c:dLbl>
              <c:idx val="433"/>
              <c:tx>
                <c:rich>
                  <a:bodyPr/>
                  <a:lstStyle/>
                  <a:p>
                    <a:fld id="{9BA7E77C-E680-4DCA-BF32-F3E4928D04C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B-940E-41A3-9BD0-604611080B4B}"/>
                </c:ext>
              </c:extLst>
            </c:dLbl>
            <c:dLbl>
              <c:idx val="434"/>
              <c:tx>
                <c:rich>
                  <a:bodyPr/>
                  <a:lstStyle/>
                  <a:p>
                    <a:fld id="{82530241-4E80-43DC-B7D9-4289B054006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C-940E-41A3-9BD0-604611080B4B}"/>
                </c:ext>
              </c:extLst>
            </c:dLbl>
            <c:dLbl>
              <c:idx val="435"/>
              <c:tx>
                <c:rich>
                  <a:bodyPr/>
                  <a:lstStyle/>
                  <a:p>
                    <a:fld id="{A354CA62-85F3-434C-A78C-29DAE15BFC0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D-940E-41A3-9BD0-604611080B4B}"/>
                </c:ext>
              </c:extLst>
            </c:dLbl>
            <c:dLbl>
              <c:idx val="436"/>
              <c:tx>
                <c:rich>
                  <a:bodyPr/>
                  <a:lstStyle/>
                  <a:p>
                    <a:fld id="{8360F960-C0CC-45C2-AA2E-383D9153304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E-940E-41A3-9BD0-604611080B4B}"/>
                </c:ext>
              </c:extLst>
            </c:dLbl>
            <c:dLbl>
              <c:idx val="437"/>
              <c:tx>
                <c:rich>
                  <a:bodyPr/>
                  <a:lstStyle/>
                  <a:p>
                    <a:fld id="{EF299E20-5080-42E3-A60B-C0B7E899EB9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3F-940E-41A3-9BD0-604611080B4B}"/>
                </c:ext>
              </c:extLst>
            </c:dLbl>
            <c:dLbl>
              <c:idx val="438"/>
              <c:tx>
                <c:rich>
                  <a:bodyPr/>
                  <a:lstStyle/>
                  <a:p>
                    <a:fld id="{F06C895E-C5CF-41E0-B4FF-B972840A994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40-940E-41A3-9BD0-604611080B4B}"/>
                </c:ext>
              </c:extLst>
            </c:dLbl>
            <c:dLbl>
              <c:idx val="439"/>
              <c:tx>
                <c:rich>
                  <a:bodyPr/>
                  <a:lstStyle/>
                  <a:p>
                    <a:fld id="{59F864C8-523B-4B5D-AC71-05469FD846F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41-940E-41A3-9BD0-604611080B4B}"/>
                </c:ext>
              </c:extLst>
            </c:dLbl>
            <c:dLbl>
              <c:idx val="440"/>
              <c:tx>
                <c:rich>
                  <a:bodyPr/>
                  <a:lstStyle/>
                  <a:p>
                    <a:fld id="{5F4E5783-98FB-4FB5-AE85-BF37DB4CA96B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442-940E-41A3-9BD0-604611080B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Paths!$AB$1:$AB$441</c:f>
              <c:numCache>
                <c:formatCode>General</c:formatCode>
                <c:ptCount val="44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  <c:pt idx="21">
                  <c:v>-10</c:v>
                </c:pt>
                <c:pt idx="22">
                  <c:v>-9</c:v>
                </c:pt>
                <c:pt idx="23">
                  <c:v>-8</c:v>
                </c:pt>
                <c:pt idx="24">
                  <c:v>-7</c:v>
                </c:pt>
                <c:pt idx="25">
                  <c:v>-6</c:v>
                </c:pt>
                <c:pt idx="26">
                  <c:v>-5</c:v>
                </c:pt>
                <c:pt idx="27">
                  <c:v>-4</c:v>
                </c:pt>
                <c:pt idx="28">
                  <c:v>-3</c:v>
                </c:pt>
                <c:pt idx="29">
                  <c:v>-2</c:v>
                </c:pt>
                <c:pt idx="30">
                  <c:v>-1</c:v>
                </c:pt>
                <c:pt idx="31">
                  <c:v>0</c:v>
                </c:pt>
                <c:pt idx="32">
                  <c:v>1</c:v>
                </c:pt>
                <c:pt idx="33">
                  <c:v>2</c:v>
                </c:pt>
                <c:pt idx="34">
                  <c:v>3</c:v>
                </c:pt>
                <c:pt idx="35">
                  <c:v>4</c:v>
                </c:pt>
                <c:pt idx="36">
                  <c:v>5</c:v>
                </c:pt>
                <c:pt idx="37">
                  <c:v>6</c:v>
                </c:pt>
                <c:pt idx="38">
                  <c:v>7</c:v>
                </c:pt>
                <c:pt idx="39">
                  <c:v>8</c:v>
                </c:pt>
                <c:pt idx="40">
                  <c:v>9</c:v>
                </c:pt>
                <c:pt idx="41">
                  <c:v>10</c:v>
                </c:pt>
                <c:pt idx="42">
                  <c:v>-10</c:v>
                </c:pt>
                <c:pt idx="43">
                  <c:v>-9</c:v>
                </c:pt>
                <c:pt idx="44">
                  <c:v>-8</c:v>
                </c:pt>
                <c:pt idx="45">
                  <c:v>-7</c:v>
                </c:pt>
                <c:pt idx="46">
                  <c:v>-6</c:v>
                </c:pt>
                <c:pt idx="47">
                  <c:v>-5</c:v>
                </c:pt>
                <c:pt idx="48">
                  <c:v>-4</c:v>
                </c:pt>
                <c:pt idx="49">
                  <c:v>-3</c:v>
                </c:pt>
                <c:pt idx="50">
                  <c:v>-2</c:v>
                </c:pt>
                <c:pt idx="51">
                  <c:v>-1</c:v>
                </c:pt>
                <c:pt idx="52">
                  <c:v>0</c:v>
                </c:pt>
                <c:pt idx="53">
                  <c:v>1</c:v>
                </c:pt>
                <c:pt idx="54">
                  <c:v>2</c:v>
                </c:pt>
                <c:pt idx="55">
                  <c:v>3</c:v>
                </c:pt>
                <c:pt idx="56">
                  <c:v>4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-10</c:v>
                </c:pt>
                <c:pt idx="64">
                  <c:v>-9</c:v>
                </c:pt>
                <c:pt idx="65">
                  <c:v>-8</c:v>
                </c:pt>
                <c:pt idx="66">
                  <c:v>-7</c:v>
                </c:pt>
                <c:pt idx="67">
                  <c:v>-6</c:v>
                </c:pt>
                <c:pt idx="68">
                  <c:v>-5</c:v>
                </c:pt>
                <c:pt idx="69">
                  <c:v>-4</c:v>
                </c:pt>
                <c:pt idx="70">
                  <c:v>-3</c:v>
                </c:pt>
                <c:pt idx="71">
                  <c:v>-2</c:v>
                </c:pt>
                <c:pt idx="72">
                  <c:v>-1</c:v>
                </c:pt>
                <c:pt idx="73">
                  <c:v>0</c:v>
                </c:pt>
                <c:pt idx="74">
                  <c:v>1</c:v>
                </c:pt>
                <c:pt idx="75">
                  <c:v>2</c:v>
                </c:pt>
                <c:pt idx="76">
                  <c:v>3</c:v>
                </c:pt>
                <c:pt idx="77">
                  <c:v>4</c:v>
                </c:pt>
                <c:pt idx="78">
                  <c:v>5</c:v>
                </c:pt>
                <c:pt idx="79">
                  <c:v>6</c:v>
                </c:pt>
                <c:pt idx="80">
                  <c:v>7</c:v>
                </c:pt>
                <c:pt idx="81">
                  <c:v>8</c:v>
                </c:pt>
                <c:pt idx="82">
                  <c:v>9</c:v>
                </c:pt>
                <c:pt idx="83">
                  <c:v>10</c:v>
                </c:pt>
                <c:pt idx="84">
                  <c:v>-10</c:v>
                </c:pt>
                <c:pt idx="85">
                  <c:v>-9</c:v>
                </c:pt>
                <c:pt idx="86">
                  <c:v>-8</c:v>
                </c:pt>
                <c:pt idx="87">
                  <c:v>-7</c:v>
                </c:pt>
                <c:pt idx="88">
                  <c:v>-6</c:v>
                </c:pt>
                <c:pt idx="89">
                  <c:v>-5</c:v>
                </c:pt>
                <c:pt idx="90">
                  <c:v>-4</c:v>
                </c:pt>
                <c:pt idx="91">
                  <c:v>-3</c:v>
                </c:pt>
                <c:pt idx="92">
                  <c:v>-2</c:v>
                </c:pt>
                <c:pt idx="93">
                  <c:v>-1</c:v>
                </c:pt>
                <c:pt idx="94">
                  <c:v>0</c:v>
                </c:pt>
                <c:pt idx="95">
                  <c:v>1</c:v>
                </c:pt>
                <c:pt idx="96">
                  <c:v>2</c:v>
                </c:pt>
                <c:pt idx="97">
                  <c:v>3</c:v>
                </c:pt>
                <c:pt idx="98">
                  <c:v>4</c:v>
                </c:pt>
                <c:pt idx="99">
                  <c:v>5</c:v>
                </c:pt>
                <c:pt idx="100">
                  <c:v>6</c:v>
                </c:pt>
                <c:pt idx="101">
                  <c:v>7</c:v>
                </c:pt>
                <c:pt idx="102">
                  <c:v>8</c:v>
                </c:pt>
                <c:pt idx="103">
                  <c:v>9</c:v>
                </c:pt>
                <c:pt idx="104">
                  <c:v>10</c:v>
                </c:pt>
                <c:pt idx="105">
                  <c:v>-10</c:v>
                </c:pt>
                <c:pt idx="106">
                  <c:v>-9</c:v>
                </c:pt>
                <c:pt idx="107">
                  <c:v>-8</c:v>
                </c:pt>
                <c:pt idx="108">
                  <c:v>-7</c:v>
                </c:pt>
                <c:pt idx="109">
                  <c:v>-6</c:v>
                </c:pt>
                <c:pt idx="110">
                  <c:v>-5</c:v>
                </c:pt>
                <c:pt idx="111">
                  <c:v>-4</c:v>
                </c:pt>
                <c:pt idx="112">
                  <c:v>-3</c:v>
                </c:pt>
                <c:pt idx="113">
                  <c:v>-2</c:v>
                </c:pt>
                <c:pt idx="114">
                  <c:v>-1</c:v>
                </c:pt>
                <c:pt idx="115">
                  <c:v>0</c:v>
                </c:pt>
                <c:pt idx="116">
                  <c:v>1</c:v>
                </c:pt>
                <c:pt idx="117">
                  <c:v>2</c:v>
                </c:pt>
                <c:pt idx="118">
                  <c:v>3</c:v>
                </c:pt>
                <c:pt idx="119">
                  <c:v>4</c:v>
                </c:pt>
                <c:pt idx="120">
                  <c:v>5</c:v>
                </c:pt>
                <c:pt idx="121">
                  <c:v>6</c:v>
                </c:pt>
                <c:pt idx="122">
                  <c:v>7</c:v>
                </c:pt>
                <c:pt idx="123">
                  <c:v>8</c:v>
                </c:pt>
                <c:pt idx="124">
                  <c:v>9</c:v>
                </c:pt>
                <c:pt idx="125">
                  <c:v>10</c:v>
                </c:pt>
                <c:pt idx="126">
                  <c:v>-10</c:v>
                </c:pt>
                <c:pt idx="127">
                  <c:v>-9</c:v>
                </c:pt>
                <c:pt idx="128">
                  <c:v>-8</c:v>
                </c:pt>
                <c:pt idx="129">
                  <c:v>-7</c:v>
                </c:pt>
                <c:pt idx="130">
                  <c:v>-6</c:v>
                </c:pt>
                <c:pt idx="131">
                  <c:v>-5</c:v>
                </c:pt>
                <c:pt idx="132">
                  <c:v>-4</c:v>
                </c:pt>
                <c:pt idx="133">
                  <c:v>-3</c:v>
                </c:pt>
                <c:pt idx="134">
                  <c:v>-2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2</c:v>
                </c:pt>
                <c:pt idx="139">
                  <c:v>3</c:v>
                </c:pt>
                <c:pt idx="140">
                  <c:v>4</c:v>
                </c:pt>
                <c:pt idx="141">
                  <c:v>5</c:v>
                </c:pt>
                <c:pt idx="142">
                  <c:v>6</c:v>
                </c:pt>
                <c:pt idx="143">
                  <c:v>7</c:v>
                </c:pt>
                <c:pt idx="144">
                  <c:v>8</c:v>
                </c:pt>
                <c:pt idx="145">
                  <c:v>9</c:v>
                </c:pt>
                <c:pt idx="146">
                  <c:v>10</c:v>
                </c:pt>
                <c:pt idx="147">
                  <c:v>-10</c:v>
                </c:pt>
                <c:pt idx="148">
                  <c:v>-9</c:v>
                </c:pt>
                <c:pt idx="149">
                  <c:v>-8</c:v>
                </c:pt>
                <c:pt idx="150">
                  <c:v>-7</c:v>
                </c:pt>
                <c:pt idx="151">
                  <c:v>-6</c:v>
                </c:pt>
                <c:pt idx="152">
                  <c:v>-5</c:v>
                </c:pt>
                <c:pt idx="153">
                  <c:v>-4</c:v>
                </c:pt>
                <c:pt idx="154">
                  <c:v>-3</c:v>
                </c:pt>
                <c:pt idx="155">
                  <c:v>-2</c:v>
                </c:pt>
                <c:pt idx="156">
                  <c:v>-1</c:v>
                </c:pt>
                <c:pt idx="157">
                  <c:v>0</c:v>
                </c:pt>
                <c:pt idx="158">
                  <c:v>1</c:v>
                </c:pt>
                <c:pt idx="159">
                  <c:v>2</c:v>
                </c:pt>
                <c:pt idx="160">
                  <c:v>3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7</c:v>
                </c:pt>
                <c:pt idx="165">
                  <c:v>8</c:v>
                </c:pt>
                <c:pt idx="166">
                  <c:v>9</c:v>
                </c:pt>
                <c:pt idx="167">
                  <c:v>10</c:v>
                </c:pt>
                <c:pt idx="168">
                  <c:v>-10</c:v>
                </c:pt>
                <c:pt idx="169">
                  <c:v>-9</c:v>
                </c:pt>
                <c:pt idx="170">
                  <c:v>-8</c:v>
                </c:pt>
                <c:pt idx="171">
                  <c:v>-7</c:v>
                </c:pt>
                <c:pt idx="172">
                  <c:v>-6</c:v>
                </c:pt>
                <c:pt idx="173">
                  <c:v>-5</c:v>
                </c:pt>
                <c:pt idx="174">
                  <c:v>-4</c:v>
                </c:pt>
                <c:pt idx="175">
                  <c:v>-3</c:v>
                </c:pt>
                <c:pt idx="176">
                  <c:v>-2</c:v>
                </c:pt>
                <c:pt idx="177">
                  <c:v>-1</c:v>
                </c:pt>
                <c:pt idx="178">
                  <c:v>0</c:v>
                </c:pt>
                <c:pt idx="179">
                  <c:v>1</c:v>
                </c:pt>
                <c:pt idx="180">
                  <c:v>2</c:v>
                </c:pt>
                <c:pt idx="181">
                  <c:v>3</c:v>
                </c:pt>
                <c:pt idx="182">
                  <c:v>4</c:v>
                </c:pt>
                <c:pt idx="183">
                  <c:v>5</c:v>
                </c:pt>
                <c:pt idx="184">
                  <c:v>6</c:v>
                </c:pt>
                <c:pt idx="185">
                  <c:v>7</c:v>
                </c:pt>
                <c:pt idx="186">
                  <c:v>8</c:v>
                </c:pt>
                <c:pt idx="187">
                  <c:v>9</c:v>
                </c:pt>
                <c:pt idx="188">
                  <c:v>10</c:v>
                </c:pt>
                <c:pt idx="189">
                  <c:v>-10</c:v>
                </c:pt>
                <c:pt idx="190">
                  <c:v>-9</c:v>
                </c:pt>
                <c:pt idx="191">
                  <c:v>-8</c:v>
                </c:pt>
                <c:pt idx="192">
                  <c:v>-7</c:v>
                </c:pt>
                <c:pt idx="193">
                  <c:v>-6</c:v>
                </c:pt>
                <c:pt idx="194">
                  <c:v>-5</c:v>
                </c:pt>
                <c:pt idx="195">
                  <c:v>-4</c:v>
                </c:pt>
                <c:pt idx="196">
                  <c:v>-3</c:v>
                </c:pt>
                <c:pt idx="197">
                  <c:v>-2</c:v>
                </c:pt>
                <c:pt idx="198">
                  <c:v>-1</c:v>
                </c:pt>
                <c:pt idx="199">
                  <c:v>0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6</c:v>
                </c:pt>
                <c:pt idx="206">
                  <c:v>7</c:v>
                </c:pt>
                <c:pt idx="207">
                  <c:v>8</c:v>
                </c:pt>
                <c:pt idx="208">
                  <c:v>9</c:v>
                </c:pt>
                <c:pt idx="209">
                  <c:v>10</c:v>
                </c:pt>
                <c:pt idx="210">
                  <c:v>-10</c:v>
                </c:pt>
                <c:pt idx="211">
                  <c:v>-9</c:v>
                </c:pt>
                <c:pt idx="212">
                  <c:v>-8</c:v>
                </c:pt>
                <c:pt idx="213">
                  <c:v>-7</c:v>
                </c:pt>
                <c:pt idx="214">
                  <c:v>-6</c:v>
                </c:pt>
                <c:pt idx="215">
                  <c:v>-5</c:v>
                </c:pt>
                <c:pt idx="216">
                  <c:v>-4</c:v>
                </c:pt>
                <c:pt idx="217">
                  <c:v>-3</c:v>
                </c:pt>
                <c:pt idx="218">
                  <c:v>-2</c:v>
                </c:pt>
                <c:pt idx="219">
                  <c:v>-1</c:v>
                </c:pt>
                <c:pt idx="220">
                  <c:v>0</c:v>
                </c:pt>
                <c:pt idx="221">
                  <c:v>1</c:v>
                </c:pt>
                <c:pt idx="222">
                  <c:v>2</c:v>
                </c:pt>
                <c:pt idx="223">
                  <c:v>3</c:v>
                </c:pt>
                <c:pt idx="224">
                  <c:v>4</c:v>
                </c:pt>
                <c:pt idx="225">
                  <c:v>5</c:v>
                </c:pt>
                <c:pt idx="226">
                  <c:v>6</c:v>
                </c:pt>
                <c:pt idx="227">
                  <c:v>7</c:v>
                </c:pt>
                <c:pt idx="228">
                  <c:v>8</c:v>
                </c:pt>
                <c:pt idx="229">
                  <c:v>9</c:v>
                </c:pt>
                <c:pt idx="230">
                  <c:v>10</c:v>
                </c:pt>
                <c:pt idx="231">
                  <c:v>-10</c:v>
                </c:pt>
                <c:pt idx="232">
                  <c:v>-9</c:v>
                </c:pt>
                <c:pt idx="233">
                  <c:v>-8</c:v>
                </c:pt>
                <c:pt idx="234">
                  <c:v>-7</c:v>
                </c:pt>
                <c:pt idx="235">
                  <c:v>-6</c:v>
                </c:pt>
                <c:pt idx="236">
                  <c:v>-5</c:v>
                </c:pt>
                <c:pt idx="237">
                  <c:v>-4</c:v>
                </c:pt>
                <c:pt idx="238">
                  <c:v>-3</c:v>
                </c:pt>
                <c:pt idx="239">
                  <c:v>-2</c:v>
                </c:pt>
                <c:pt idx="240">
                  <c:v>-1</c:v>
                </c:pt>
                <c:pt idx="241">
                  <c:v>0</c:v>
                </c:pt>
                <c:pt idx="242">
                  <c:v>1</c:v>
                </c:pt>
                <c:pt idx="243">
                  <c:v>2</c:v>
                </c:pt>
                <c:pt idx="244">
                  <c:v>3</c:v>
                </c:pt>
                <c:pt idx="245">
                  <c:v>4</c:v>
                </c:pt>
                <c:pt idx="246">
                  <c:v>5</c:v>
                </c:pt>
                <c:pt idx="247">
                  <c:v>6</c:v>
                </c:pt>
                <c:pt idx="248">
                  <c:v>7</c:v>
                </c:pt>
                <c:pt idx="249">
                  <c:v>8</c:v>
                </c:pt>
                <c:pt idx="250">
                  <c:v>9</c:v>
                </c:pt>
                <c:pt idx="251">
                  <c:v>10</c:v>
                </c:pt>
                <c:pt idx="252">
                  <c:v>-10</c:v>
                </c:pt>
                <c:pt idx="253">
                  <c:v>-9</c:v>
                </c:pt>
                <c:pt idx="254">
                  <c:v>-8</c:v>
                </c:pt>
                <c:pt idx="255">
                  <c:v>-7</c:v>
                </c:pt>
                <c:pt idx="256">
                  <c:v>-6</c:v>
                </c:pt>
                <c:pt idx="257">
                  <c:v>-5</c:v>
                </c:pt>
                <c:pt idx="258">
                  <c:v>-4</c:v>
                </c:pt>
                <c:pt idx="259">
                  <c:v>-3</c:v>
                </c:pt>
                <c:pt idx="260">
                  <c:v>-2</c:v>
                </c:pt>
                <c:pt idx="261">
                  <c:v>-1</c:v>
                </c:pt>
                <c:pt idx="262">
                  <c:v>0</c:v>
                </c:pt>
                <c:pt idx="263">
                  <c:v>1</c:v>
                </c:pt>
                <c:pt idx="264">
                  <c:v>2</c:v>
                </c:pt>
                <c:pt idx="265">
                  <c:v>3</c:v>
                </c:pt>
                <c:pt idx="266">
                  <c:v>4</c:v>
                </c:pt>
                <c:pt idx="267">
                  <c:v>5</c:v>
                </c:pt>
                <c:pt idx="268">
                  <c:v>6</c:v>
                </c:pt>
                <c:pt idx="269">
                  <c:v>7</c:v>
                </c:pt>
                <c:pt idx="270">
                  <c:v>8</c:v>
                </c:pt>
                <c:pt idx="271">
                  <c:v>9</c:v>
                </c:pt>
                <c:pt idx="272">
                  <c:v>10</c:v>
                </c:pt>
                <c:pt idx="273">
                  <c:v>-10</c:v>
                </c:pt>
                <c:pt idx="274">
                  <c:v>-9</c:v>
                </c:pt>
                <c:pt idx="275">
                  <c:v>-8</c:v>
                </c:pt>
                <c:pt idx="276">
                  <c:v>-7</c:v>
                </c:pt>
                <c:pt idx="277">
                  <c:v>-6</c:v>
                </c:pt>
                <c:pt idx="278">
                  <c:v>-5</c:v>
                </c:pt>
                <c:pt idx="279">
                  <c:v>-4</c:v>
                </c:pt>
                <c:pt idx="280">
                  <c:v>-3</c:v>
                </c:pt>
                <c:pt idx="281">
                  <c:v>-2</c:v>
                </c:pt>
                <c:pt idx="282">
                  <c:v>-1</c:v>
                </c:pt>
                <c:pt idx="283">
                  <c:v>0</c:v>
                </c:pt>
                <c:pt idx="284">
                  <c:v>1</c:v>
                </c:pt>
                <c:pt idx="285">
                  <c:v>2</c:v>
                </c:pt>
                <c:pt idx="286">
                  <c:v>3</c:v>
                </c:pt>
                <c:pt idx="287">
                  <c:v>4</c:v>
                </c:pt>
                <c:pt idx="288">
                  <c:v>5</c:v>
                </c:pt>
                <c:pt idx="289">
                  <c:v>6</c:v>
                </c:pt>
                <c:pt idx="290">
                  <c:v>7</c:v>
                </c:pt>
                <c:pt idx="291">
                  <c:v>8</c:v>
                </c:pt>
                <c:pt idx="292">
                  <c:v>9</c:v>
                </c:pt>
                <c:pt idx="293">
                  <c:v>10</c:v>
                </c:pt>
                <c:pt idx="294">
                  <c:v>-10</c:v>
                </c:pt>
                <c:pt idx="295">
                  <c:v>-9</c:v>
                </c:pt>
                <c:pt idx="296">
                  <c:v>-8</c:v>
                </c:pt>
                <c:pt idx="297">
                  <c:v>-7</c:v>
                </c:pt>
                <c:pt idx="298">
                  <c:v>-6</c:v>
                </c:pt>
                <c:pt idx="299">
                  <c:v>-5</c:v>
                </c:pt>
                <c:pt idx="300">
                  <c:v>-4</c:v>
                </c:pt>
                <c:pt idx="301">
                  <c:v>-3</c:v>
                </c:pt>
                <c:pt idx="302">
                  <c:v>-2</c:v>
                </c:pt>
                <c:pt idx="303">
                  <c:v>-1</c:v>
                </c:pt>
                <c:pt idx="304">
                  <c:v>0</c:v>
                </c:pt>
                <c:pt idx="305">
                  <c:v>1</c:v>
                </c:pt>
                <c:pt idx="306">
                  <c:v>2</c:v>
                </c:pt>
                <c:pt idx="307">
                  <c:v>3</c:v>
                </c:pt>
                <c:pt idx="308">
                  <c:v>4</c:v>
                </c:pt>
                <c:pt idx="309">
                  <c:v>5</c:v>
                </c:pt>
                <c:pt idx="310">
                  <c:v>6</c:v>
                </c:pt>
                <c:pt idx="311">
                  <c:v>7</c:v>
                </c:pt>
                <c:pt idx="312">
                  <c:v>8</c:v>
                </c:pt>
                <c:pt idx="313">
                  <c:v>9</c:v>
                </c:pt>
                <c:pt idx="314">
                  <c:v>10</c:v>
                </c:pt>
                <c:pt idx="315">
                  <c:v>-10</c:v>
                </c:pt>
                <c:pt idx="316">
                  <c:v>-9</c:v>
                </c:pt>
                <c:pt idx="317">
                  <c:v>-8</c:v>
                </c:pt>
                <c:pt idx="318">
                  <c:v>-7</c:v>
                </c:pt>
                <c:pt idx="319">
                  <c:v>-6</c:v>
                </c:pt>
                <c:pt idx="320">
                  <c:v>-5</c:v>
                </c:pt>
                <c:pt idx="321">
                  <c:v>-4</c:v>
                </c:pt>
                <c:pt idx="322">
                  <c:v>-3</c:v>
                </c:pt>
                <c:pt idx="323">
                  <c:v>-2</c:v>
                </c:pt>
                <c:pt idx="324">
                  <c:v>-1</c:v>
                </c:pt>
                <c:pt idx="325">
                  <c:v>0</c:v>
                </c:pt>
                <c:pt idx="326">
                  <c:v>1</c:v>
                </c:pt>
                <c:pt idx="327">
                  <c:v>2</c:v>
                </c:pt>
                <c:pt idx="328">
                  <c:v>3</c:v>
                </c:pt>
                <c:pt idx="329">
                  <c:v>4</c:v>
                </c:pt>
                <c:pt idx="330">
                  <c:v>5</c:v>
                </c:pt>
                <c:pt idx="331">
                  <c:v>6</c:v>
                </c:pt>
                <c:pt idx="332">
                  <c:v>7</c:v>
                </c:pt>
                <c:pt idx="333">
                  <c:v>8</c:v>
                </c:pt>
                <c:pt idx="334">
                  <c:v>9</c:v>
                </c:pt>
                <c:pt idx="335">
                  <c:v>10</c:v>
                </c:pt>
                <c:pt idx="336">
                  <c:v>-10</c:v>
                </c:pt>
                <c:pt idx="337">
                  <c:v>-9</c:v>
                </c:pt>
                <c:pt idx="338">
                  <c:v>-8</c:v>
                </c:pt>
                <c:pt idx="339">
                  <c:v>-7</c:v>
                </c:pt>
                <c:pt idx="340">
                  <c:v>-6</c:v>
                </c:pt>
                <c:pt idx="341">
                  <c:v>-5</c:v>
                </c:pt>
                <c:pt idx="342">
                  <c:v>-4</c:v>
                </c:pt>
                <c:pt idx="343">
                  <c:v>-3</c:v>
                </c:pt>
                <c:pt idx="344">
                  <c:v>-2</c:v>
                </c:pt>
                <c:pt idx="345">
                  <c:v>-1</c:v>
                </c:pt>
                <c:pt idx="346">
                  <c:v>0</c:v>
                </c:pt>
                <c:pt idx="347">
                  <c:v>1</c:v>
                </c:pt>
                <c:pt idx="348">
                  <c:v>2</c:v>
                </c:pt>
                <c:pt idx="349">
                  <c:v>3</c:v>
                </c:pt>
                <c:pt idx="350">
                  <c:v>4</c:v>
                </c:pt>
                <c:pt idx="351">
                  <c:v>5</c:v>
                </c:pt>
                <c:pt idx="352">
                  <c:v>6</c:v>
                </c:pt>
                <c:pt idx="353">
                  <c:v>7</c:v>
                </c:pt>
                <c:pt idx="354">
                  <c:v>8</c:v>
                </c:pt>
                <c:pt idx="355">
                  <c:v>9</c:v>
                </c:pt>
                <c:pt idx="356">
                  <c:v>10</c:v>
                </c:pt>
                <c:pt idx="357">
                  <c:v>-10</c:v>
                </c:pt>
                <c:pt idx="358">
                  <c:v>-9</c:v>
                </c:pt>
                <c:pt idx="359">
                  <c:v>-8</c:v>
                </c:pt>
                <c:pt idx="360">
                  <c:v>-7</c:v>
                </c:pt>
                <c:pt idx="361">
                  <c:v>-6</c:v>
                </c:pt>
                <c:pt idx="362">
                  <c:v>-5</c:v>
                </c:pt>
                <c:pt idx="363">
                  <c:v>-4</c:v>
                </c:pt>
                <c:pt idx="364">
                  <c:v>-3</c:v>
                </c:pt>
                <c:pt idx="365">
                  <c:v>-2</c:v>
                </c:pt>
                <c:pt idx="366">
                  <c:v>-1</c:v>
                </c:pt>
                <c:pt idx="367">
                  <c:v>0</c:v>
                </c:pt>
                <c:pt idx="368">
                  <c:v>1</c:v>
                </c:pt>
                <c:pt idx="369">
                  <c:v>2</c:v>
                </c:pt>
                <c:pt idx="370">
                  <c:v>3</c:v>
                </c:pt>
                <c:pt idx="371">
                  <c:v>4</c:v>
                </c:pt>
                <c:pt idx="372">
                  <c:v>5</c:v>
                </c:pt>
                <c:pt idx="373">
                  <c:v>6</c:v>
                </c:pt>
                <c:pt idx="374">
                  <c:v>7</c:v>
                </c:pt>
                <c:pt idx="375">
                  <c:v>8</c:v>
                </c:pt>
                <c:pt idx="376">
                  <c:v>9</c:v>
                </c:pt>
                <c:pt idx="377">
                  <c:v>10</c:v>
                </c:pt>
                <c:pt idx="378">
                  <c:v>-10</c:v>
                </c:pt>
                <c:pt idx="379">
                  <c:v>-9</c:v>
                </c:pt>
                <c:pt idx="380">
                  <c:v>-8</c:v>
                </c:pt>
                <c:pt idx="381">
                  <c:v>-7</c:v>
                </c:pt>
                <c:pt idx="382">
                  <c:v>-6</c:v>
                </c:pt>
                <c:pt idx="383">
                  <c:v>-5</c:v>
                </c:pt>
                <c:pt idx="384">
                  <c:v>-4</c:v>
                </c:pt>
                <c:pt idx="385">
                  <c:v>-3</c:v>
                </c:pt>
                <c:pt idx="386">
                  <c:v>-2</c:v>
                </c:pt>
                <c:pt idx="387">
                  <c:v>-1</c:v>
                </c:pt>
                <c:pt idx="388">
                  <c:v>0</c:v>
                </c:pt>
                <c:pt idx="389">
                  <c:v>1</c:v>
                </c:pt>
                <c:pt idx="390">
                  <c:v>2</c:v>
                </c:pt>
                <c:pt idx="391">
                  <c:v>3</c:v>
                </c:pt>
                <c:pt idx="392">
                  <c:v>4</c:v>
                </c:pt>
                <c:pt idx="393">
                  <c:v>5</c:v>
                </c:pt>
                <c:pt idx="394">
                  <c:v>6</c:v>
                </c:pt>
                <c:pt idx="395">
                  <c:v>7</c:v>
                </c:pt>
                <c:pt idx="396">
                  <c:v>8</c:v>
                </c:pt>
                <c:pt idx="397">
                  <c:v>9</c:v>
                </c:pt>
                <c:pt idx="398">
                  <c:v>10</c:v>
                </c:pt>
                <c:pt idx="399">
                  <c:v>-10</c:v>
                </c:pt>
                <c:pt idx="400">
                  <c:v>-9</c:v>
                </c:pt>
                <c:pt idx="401">
                  <c:v>-8</c:v>
                </c:pt>
                <c:pt idx="402">
                  <c:v>-7</c:v>
                </c:pt>
                <c:pt idx="403">
                  <c:v>-6</c:v>
                </c:pt>
                <c:pt idx="404">
                  <c:v>-5</c:v>
                </c:pt>
                <c:pt idx="405">
                  <c:v>-4</c:v>
                </c:pt>
                <c:pt idx="406">
                  <c:v>-3</c:v>
                </c:pt>
                <c:pt idx="407">
                  <c:v>-2</c:v>
                </c:pt>
                <c:pt idx="408">
                  <c:v>-1</c:v>
                </c:pt>
                <c:pt idx="409">
                  <c:v>0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4</c:v>
                </c:pt>
                <c:pt idx="414">
                  <c:v>5</c:v>
                </c:pt>
                <c:pt idx="415">
                  <c:v>6</c:v>
                </c:pt>
                <c:pt idx="416">
                  <c:v>7</c:v>
                </c:pt>
                <c:pt idx="417">
                  <c:v>8</c:v>
                </c:pt>
                <c:pt idx="418">
                  <c:v>9</c:v>
                </c:pt>
                <c:pt idx="419">
                  <c:v>10</c:v>
                </c:pt>
                <c:pt idx="420">
                  <c:v>-10</c:v>
                </c:pt>
                <c:pt idx="421">
                  <c:v>-9</c:v>
                </c:pt>
                <c:pt idx="422">
                  <c:v>-8</c:v>
                </c:pt>
                <c:pt idx="423">
                  <c:v>-7</c:v>
                </c:pt>
                <c:pt idx="424">
                  <c:v>-6</c:v>
                </c:pt>
                <c:pt idx="425">
                  <c:v>-5</c:v>
                </c:pt>
                <c:pt idx="426">
                  <c:v>-4</c:v>
                </c:pt>
                <c:pt idx="427">
                  <c:v>-3</c:v>
                </c:pt>
                <c:pt idx="428">
                  <c:v>-2</c:v>
                </c:pt>
                <c:pt idx="429">
                  <c:v>-1</c:v>
                </c:pt>
                <c:pt idx="430">
                  <c:v>0</c:v>
                </c:pt>
                <c:pt idx="431">
                  <c:v>1</c:v>
                </c:pt>
                <c:pt idx="432">
                  <c:v>2</c:v>
                </c:pt>
                <c:pt idx="433">
                  <c:v>3</c:v>
                </c:pt>
                <c:pt idx="434">
                  <c:v>4</c:v>
                </c:pt>
                <c:pt idx="435">
                  <c:v>5</c:v>
                </c:pt>
                <c:pt idx="436">
                  <c:v>6</c:v>
                </c:pt>
                <c:pt idx="437">
                  <c:v>7</c:v>
                </c:pt>
                <c:pt idx="438">
                  <c:v>8</c:v>
                </c:pt>
                <c:pt idx="439">
                  <c:v>9</c:v>
                </c:pt>
                <c:pt idx="440">
                  <c:v>10</c:v>
                </c:pt>
              </c:numCache>
            </c:numRef>
          </c:xVal>
          <c:yVal>
            <c:numRef>
              <c:f>Paths!$AA$1:$AA$441</c:f>
              <c:numCache>
                <c:formatCode>General</c:formatCode>
                <c:ptCount val="44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-9</c:v>
                </c:pt>
                <c:pt idx="22">
                  <c:v>-9</c:v>
                </c:pt>
                <c:pt idx="23">
                  <c:v>-9</c:v>
                </c:pt>
                <c:pt idx="24">
                  <c:v>-9</c:v>
                </c:pt>
                <c:pt idx="25">
                  <c:v>-9</c:v>
                </c:pt>
                <c:pt idx="26">
                  <c:v>-9</c:v>
                </c:pt>
                <c:pt idx="27">
                  <c:v>-9</c:v>
                </c:pt>
                <c:pt idx="28">
                  <c:v>-9</c:v>
                </c:pt>
                <c:pt idx="29">
                  <c:v>-9</c:v>
                </c:pt>
                <c:pt idx="30">
                  <c:v>-9</c:v>
                </c:pt>
                <c:pt idx="31">
                  <c:v>-9</c:v>
                </c:pt>
                <c:pt idx="32">
                  <c:v>-9</c:v>
                </c:pt>
                <c:pt idx="33">
                  <c:v>-9</c:v>
                </c:pt>
                <c:pt idx="34">
                  <c:v>-9</c:v>
                </c:pt>
                <c:pt idx="35">
                  <c:v>-9</c:v>
                </c:pt>
                <c:pt idx="36">
                  <c:v>-9</c:v>
                </c:pt>
                <c:pt idx="37">
                  <c:v>-9</c:v>
                </c:pt>
                <c:pt idx="38">
                  <c:v>-9</c:v>
                </c:pt>
                <c:pt idx="39">
                  <c:v>-9</c:v>
                </c:pt>
                <c:pt idx="40">
                  <c:v>-9</c:v>
                </c:pt>
                <c:pt idx="41">
                  <c:v>-9</c:v>
                </c:pt>
                <c:pt idx="42">
                  <c:v>-8</c:v>
                </c:pt>
                <c:pt idx="43">
                  <c:v>-8</c:v>
                </c:pt>
                <c:pt idx="44">
                  <c:v>-8</c:v>
                </c:pt>
                <c:pt idx="45">
                  <c:v>-8</c:v>
                </c:pt>
                <c:pt idx="46">
                  <c:v>-8</c:v>
                </c:pt>
                <c:pt idx="47">
                  <c:v>-8</c:v>
                </c:pt>
                <c:pt idx="48">
                  <c:v>-8</c:v>
                </c:pt>
                <c:pt idx="49">
                  <c:v>-8</c:v>
                </c:pt>
                <c:pt idx="50">
                  <c:v>-8</c:v>
                </c:pt>
                <c:pt idx="51">
                  <c:v>-8</c:v>
                </c:pt>
                <c:pt idx="52">
                  <c:v>-8</c:v>
                </c:pt>
                <c:pt idx="53">
                  <c:v>-8</c:v>
                </c:pt>
                <c:pt idx="54">
                  <c:v>-8</c:v>
                </c:pt>
                <c:pt idx="55">
                  <c:v>-8</c:v>
                </c:pt>
                <c:pt idx="56">
                  <c:v>-8</c:v>
                </c:pt>
                <c:pt idx="57">
                  <c:v>-8</c:v>
                </c:pt>
                <c:pt idx="58">
                  <c:v>-8</c:v>
                </c:pt>
                <c:pt idx="59">
                  <c:v>-8</c:v>
                </c:pt>
                <c:pt idx="60">
                  <c:v>-8</c:v>
                </c:pt>
                <c:pt idx="61">
                  <c:v>-8</c:v>
                </c:pt>
                <c:pt idx="62">
                  <c:v>-8</c:v>
                </c:pt>
                <c:pt idx="63">
                  <c:v>-7</c:v>
                </c:pt>
                <c:pt idx="64">
                  <c:v>-7</c:v>
                </c:pt>
                <c:pt idx="65">
                  <c:v>-7</c:v>
                </c:pt>
                <c:pt idx="66">
                  <c:v>-7</c:v>
                </c:pt>
                <c:pt idx="67">
                  <c:v>-7</c:v>
                </c:pt>
                <c:pt idx="68">
                  <c:v>-7</c:v>
                </c:pt>
                <c:pt idx="69">
                  <c:v>-7</c:v>
                </c:pt>
                <c:pt idx="70">
                  <c:v>-7</c:v>
                </c:pt>
                <c:pt idx="71">
                  <c:v>-7</c:v>
                </c:pt>
                <c:pt idx="72">
                  <c:v>-7</c:v>
                </c:pt>
                <c:pt idx="73">
                  <c:v>-7</c:v>
                </c:pt>
                <c:pt idx="74">
                  <c:v>-7</c:v>
                </c:pt>
                <c:pt idx="75">
                  <c:v>-7</c:v>
                </c:pt>
                <c:pt idx="76">
                  <c:v>-7</c:v>
                </c:pt>
                <c:pt idx="77">
                  <c:v>-7</c:v>
                </c:pt>
                <c:pt idx="78">
                  <c:v>-7</c:v>
                </c:pt>
                <c:pt idx="79">
                  <c:v>-7</c:v>
                </c:pt>
                <c:pt idx="80">
                  <c:v>-7</c:v>
                </c:pt>
                <c:pt idx="81">
                  <c:v>-7</c:v>
                </c:pt>
                <c:pt idx="82">
                  <c:v>-7</c:v>
                </c:pt>
                <c:pt idx="83">
                  <c:v>-7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-4</c:v>
                </c:pt>
                <c:pt idx="127">
                  <c:v>-4</c:v>
                </c:pt>
                <c:pt idx="128">
                  <c:v>-4</c:v>
                </c:pt>
                <c:pt idx="129">
                  <c:v>-4</c:v>
                </c:pt>
                <c:pt idx="130">
                  <c:v>-4</c:v>
                </c:pt>
                <c:pt idx="131">
                  <c:v>-4</c:v>
                </c:pt>
                <c:pt idx="132">
                  <c:v>-4</c:v>
                </c:pt>
                <c:pt idx="133">
                  <c:v>-4</c:v>
                </c:pt>
                <c:pt idx="134">
                  <c:v>-4</c:v>
                </c:pt>
                <c:pt idx="135">
                  <c:v>-4</c:v>
                </c:pt>
                <c:pt idx="136">
                  <c:v>-4</c:v>
                </c:pt>
                <c:pt idx="137">
                  <c:v>-4</c:v>
                </c:pt>
                <c:pt idx="138">
                  <c:v>-4</c:v>
                </c:pt>
                <c:pt idx="139">
                  <c:v>-4</c:v>
                </c:pt>
                <c:pt idx="140">
                  <c:v>-4</c:v>
                </c:pt>
                <c:pt idx="141">
                  <c:v>-4</c:v>
                </c:pt>
                <c:pt idx="142">
                  <c:v>-4</c:v>
                </c:pt>
                <c:pt idx="143">
                  <c:v>-4</c:v>
                </c:pt>
                <c:pt idx="144">
                  <c:v>-4</c:v>
                </c:pt>
                <c:pt idx="145">
                  <c:v>-4</c:v>
                </c:pt>
                <c:pt idx="146">
                  <c:v>-4</c:v>
                </c:pt>
                <c:pt idx="147">
                  <c:v>-3</c:v>
                </c:pt>
                <c:pt idx="148">
                  <c:v>-3</c:v>
                </c:pt>
                <c:pt idx="149">
                  <c:v>-3</c:v>
                </c:pt>
                <c:pt idx="150">
                  <c:v>-3</c:v>
                </c:pt>
                <c:pt idx="151">
                  <c:v>-3</c:v>
                </c:pt>
                <c:pt idx="152">
                  <c:v>-3</c:v>
                </c:pt>
                <c:pt idx="153">
                  <c:v>-3</c:v>
                </c:pt>
                <c:pt idx="154">
                  <c:v>-3</c:v>
                </c:pt>
                <c:pt idx="155">
                  <c:v>-3</c:v>
                </c:pt>
                <c:pt idx="156">
                  <c:v>-3</c:v>
                </c:pt>
                <c:pt idx="157">
                  <c:v>-3</c:v>
                </c:pt>
                <c:pt idx="158">
                  <c:v>-3</c:v>
                </c:pt>
                <c:pt idx="159">
                  <c:v>-3</c:v>
                </c:pt>
                <c:pt idx="160">
                  <c:v>-3</c:v>
                </c:pt>
                <c:pt idx="161">
                  <c:v>-3</c:v>
                </c:pt>
                <c:pt idx="162">
                  <c:v>-3</c:v>
                </c:pt>
                <c:pt idx="163">
                  <c:v>-3</c:v>
                </c:pt>
                <c:pt idx="164">
                  <c:v>-3</c:v>
                </c:pt>
                <c:pt idx="165">
                  <c:v>-3</c:v>
                </c:pt>
                <c:pt idx="166">
                  <c:v>-3</c:v>
                </c:pt>
                <c:pt idx="167">
                  <c:v>-3</c:v>
                </c:pt>
                <c:pt idx="168">
                  <c:v>-2</c:v>
                </c:pt>
                <c:pt idx="169">
                  <c:v>-2</c:v>
                </c:pt>
                <c:pt idx="170">
                  <c:v>-2</c:v>
                </c:pt>
                <c:pt idx="171">
                  <c:v>-2</c:v>
                </c:pt>
                <c:pt idx="172">
                  <c:v>-2</c:v>
                </c:pt>
                <c:pt idx="173">
                  <c:v>-2</c:v>
                </c:pt>
                <c:pt idx="174">
                  <c:v>-2</c:v>
                </c:pt>
                <c:pt idx="175">
                  <c:v>-2</c:v>
                </c:pt>
                <c:pt idx="176">
                  <c:v>-2</c:v>
                </c:pt>
                <c:pt idx="177">
                  <c:v>-2</c:v>
                </c:pt>
                <c:pt idx="178">
                  <c:v>-2</c:v>
                </c:pt>
                <c:pt idx="179">
                  <c:v>-2</c:v>
                </c:pt>
                <c:pt idx="180">
                  <c:v>-2</c:v>
                </c:pt>
                <c:pt idx="181">
                  <c:v>-2</c:v>
                </c:pt>
                <c:pt idx="182">
                  <c:v>-2</c:v>
                </c:pt>
                <c:pt idx="183">
                  <c:v>-2</c:v>
                </c:pt>
                <c:pt idx="184">
                  <c:v>-2</c:v>
                </c:pt>
                <c:pt idx="185">
                  <c:v>-2</c:v>
                </c:pt>
                <c:pt idx="186">
                  <c:v>-2</c:v>
                </c:pt>
                <c:pt idx="187">
                  <c:v>-2</c:v>
                </c:pt>
                <c:pt idx="188">
                  <c:v>-2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4</c:v>
                </c:pt>
                <c:pt idx="306">
                  <c:v>4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6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6</c:v>
                </c:pt>
                <c:pt idx="348">
                  <c:v>6</c:v>
                </c:pt>
                <c:pt idx="349">
                  <c:v>6</c:v>
                </c:pt>
                <c:pt idx="350">
                  <c:v>6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8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9</c:v>
                </c:pt>
                <c:pt idx="419">
                  <c:v>9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Paths!$AC$1:$AC$441</c15:f>
                <c15:dlblRangeCache>
                  <c:ptCount val="441"/>
                  <c:pt idx="0">
                    <c:v>-10, -10</c:v>
                  </c:pt>
                  <c:pt idx="1">
                    <c:v>-9, -10</c:v>
                  </c:pt>
                  <c:pt idx="2">
                    <c:v>-8, -10</c:v>
                  </c:pt>
                  <c:pt idx="3">
                    <c:v>-7, -10</c:v>
                  </c:pt>
                  <c:pt idx="4">
                    <c:v>-6, -10</c:v>
                  </c:pt>
                  <c:pt idx="5">
                    <c:v>-5, -10</c:v>
                  </c:pt>
                  <c:pt idx="6">
                    <c:v>-4, -10</c:v>
                  </c:pt>
                  <c:pt idx="7">
                    <c:v>-3, -10</c:v>
                  </c:pt>
                  <c:pt idx="8">
                    <c:v>-2, -10</c:v>
                  </c:pt>
                  <c:pt idx="9">
                    <c:v>-1, -10</c:v>
                  </c:pt>
                  <c:pt idx="10">
                    <c:v>0, -10</c:v>
                  </c:pt>
                  <c:pt idx="11">
                    <c:v>1, -10</c:v>
                  </c:pt>
                  <c:pt idx="12">
                    <c:v>2, -10</c:v>
                  </c:pt>
                  <c:pt idx="13">
                    <c:v>3, -10</c:v>
                  </c:pt>
                  <c:pt idx="14">
                    <c:v>4, -10</c:v>
                  </c:pt>
                  <c:pt idx="15">
                    <c:v>5, -10</c:v>
                  </c:pt>
                  <c:pt idx="16">
                    <c:v>6, -10</c:v>
                  </c:pt>
                  <c:pt idx="17">
                    <c:v>7, -10</c:v>
                  </c:pt>
                  <c:pt idx="18">
                    <c:v>8, -10</c:v>
                  </c:pt>
                  <c:pt idx="19">
                    <c:v>9, -10</c:v>
                  </c:pt>
                  <c:pt idx="20">
                    <c:v>10, -10</c:v>
                  </c:pt>
                  <c:pt idx="21">
                    <c:v>-10, -9</c:v>
                  </c:pt>
                  <c:pt idx="22">
                    <c:v>-9, -9</c:v>
                  </c:pt>
                  <c:pt idx="23">
                    <c:v>-8, -9</c:v>
                  </c:pt>
                  <c:pt idx="24">
                    <c:v>-7, -9</c:v>
                  </c:pt>
                  <c:pt idx="25">
                    <c:v>-6, -9</c:v>
                  </c:pt>
                  <c:pt idx="26">
                    <c:v>-5, -9</c:v>
                  </c:pt>
                  <c:pt idx="27">
                    <c:v>-4, -9</c:v>
                  </c:pt>
                  <c:pt idx="28">
                    <c:v>-3, -9</c:v>
                  </c:pt>
                  <c:pt idx="29">
                    <c:v>-2, -9</c:v>
                  </c:pt>
                  <c:pt idx="30">
                    <c:v>-1, -9</c:v>
                  </c:pt>
                  <c:pt idx="31">
                    <c:v>0, -9</c:v>
                  </c:pt>
                  <c:pt idx="32">
                    <c:v>1, -9</c:v>
                  </c:pt>
                  <c:pt idx="33">
                    <c:v>2, -9</c:v>
                  </c:pt>
                  <c:pt idx="34">
                    <c:v>3, -9</c:v>
                  </c:pt>
                  <c:pt idx="35">
                    <c:v>4, -9</c:v>
                  </c:pt>
                  <c:pt idx="36">
                    <c:v>5, -9</c:v>
                  </c:pt>
                  <c:pt idx="37">
                    <c:v>6, -9</c:v>
                  </c:pt>
                  <c:pt idx="38">
                    <c:v>7, -9</c:v>
                  </c:pt>
                  <c:pt idx="39">
                    <c:v>8, -9</c:v>
                  </c:pt>
                  <c:pt idx="40">
                    <c:v>9, -9</c:v>
                  </c:pt>
                  <c:pt idx="41">
                    <c:v>10, -9</c:v>
                  </c:pt>
                  <c:pt idx="42">
                    <c:v>-10, -8</c:v>
                  </c:pt>
                  <c:pt idx="43">
                    <c:v>-9, -8</c:v>
                  </c:pt>
                  <c:pt idx="44">
                    <c:v>-8, -8</c:v>
                  </c:pt>
                  <c:pt idx="45">
                    <c:v>-7, -8</c:v>
                  </c:pt>
                  <c:pt idx="46">
                    <c:v>-6, -8</c:v>
                  </c:pt>
                  <c:pt idx="47">
                    <c:v>-5, -8</c:v>
                  </c:pt>
                  <c:pt idx="48">
                    <c:v>-4, -8</c:v>
                  </c:pt>
                  <c:pt idx="49">
                    <c:v>-3, -8</c:v>
                  </c:pt>
                  <c:pt idx="50">
                    <c:v>-2, -8</c:v>
                  </c:pt>
                  <c:pt idx="51">
                    <c:v>-1, -8</c:v>
                  </c:pt>
                  <c:pt idx="52">
                    <c:v>0, -8</c:v>
                  </c:pt>
                  <c:pt idx="53">
                    <c:v>1, -8</c:v>
                  </c:pt>
                  <c:pt idx="54">
                    <c:v>2, -8</c:v>
                  </c:pt>
                  <c:pt idx="55">
                    <c:v>3, -8</c:v>
                  </c:pt>
                  <c:pt idx="56">
                    <c:v>4, -8</c:v>
                  </c:pt>
                  <c:pt idx="57">
                    <c:v>5, -8</c:v>
                  </c:pt>
                  <c:pt idx="58">
                    <c:v>6, -8</c:v>
                  </c:pt>
                  <c:pt idx="59">
                    <c:v>7, -8</c:v>
                  </c:pt>
                  <c:pt idx="60">
                    <c:v>8, -8</c:v>
                  </c:pt>
                  <c:pt idx="61">
                    <c:v>9, -8</c:v>
                  </c:pt>
                  <c:pt idx="62">
                    <c:v>10, -8</c:v>
                  </c:pt>
                  <c:pt idx="63">
                    <c:v>-10, -7</c:v>
                  </c:pt>
                  <c:pt idx="64">
                    <c:v>-9, -7</c:v>
                  </c:pt>
                  <c:pt idx="65">
                    <c:v>-8, -7</c:v>
                  </c:pt>
                  <c:pt idx="66">
                    <c:v>-7, -7</c:v>
                  </c:pt>
                  <c:pt idx="67">
                    <c:v>-6, -7</c:v>
                  </c:pt>
                  <c:pt idx="68">
                    <c:v>-5, -7</c:v>
                  </c:pt>
                  <c:pt idx="69">
                    <c:v>-4, -7</c:v>
                  </c:pt>
                  <c:pt idx="70">
                    <c:v>-3, -7</c:v>
                  </c:pt>
                  <c:pt idx="71">
                    <c:v>-2, -7</c:v>
                  </c:pt>
                  <c:pt idx="72">
                    <c:v>-1, -7</c:v>
                  </c:pt>
                  <c:pt idx="73">
                    <c:v>0, -7</c:v>
                  </c:pt>
                  <c:pt idx="74">
                    <c:v>1, -7</c:v>
                  </c:pt>
                  <c:pt idx="75">
                    <c:v>2, -7</c:v>
                  </c:pt>
                  <c:pt idx="76">
                    <c:v>3, -7</c:v>
                  </c:pt>
                  <c:pt idx="77">
                    <c:v>4, -7</c:v>
                  </c:pt>
                  <c:pt idx="78">
                    <c:v>5, -7</c:v>
                  </c:pt>
                  <c:pt idx="79">
                    <c:v>6, -7</c:v>
                  </c:pt>
                  <c:pt idx="80">
                    <c:v>7, -7</c:v>
                  </c:pt>
                  <c:pt idx="81">
                    <c:v>8, -7</c:v>
                  </c:pt>
                  <c:pt idx="82">
                    <c:v>9, -7</c:v>
                  </c:pt>
                  <c:pt idx="83">
                    <c:v>10, -7</c:v>
                  </c:pt>
                  <c:pt idx="84">
                    <c:v>-10, -6</c:v>
                  </c:pt>
                  <c:pt idx="85">
                    <c:v>-9, -6</c:v>
                  </c:pt>
                  <c:pt idx="86">
                    <c:v>-8, -6</c:v>
                  </c:pt>
                  <c:pt idx="87">
                    <c:v>-7, -6</c:v>
                  </c:pt>
                  <c:pt idx="88">
                    <c:v>-6, -6</c:v>
                  </c:pt>
                  <c:pt idx="89">
                    <c:v>-5, -6</c:v>
                  </c:pt>
                  <c:pt idx="90">
                    <c:v>-4, -6</c:v>
                  </c:pt>
                  <c:pt idx="91">
                    <c:v>-3, -6</c:v>
                  </c:pt>
                  <c:pt idx="92">
                    <c:v>-2, -6</c:v>
                  </c:pt>
                  <c:pt idx="93">
                    <c:v>-1, -6</c:v>
                  </c:pt>
                  <c:pt idx="94">
                    <c:v>0, -6</c:v>
                  </c:pt>
                  <c:pt idx="95">
                    <c:v>1, -6</c:v>
                  </c:pt>
                  <c:pt idx="96">
                    <c:v>2, -6</c:v>
                  </c:pt>
                  <c:pt idx="97">
                    <c:v>3, -6</c:v>
                  </c:pt>
                  <c:pt idx="98">
                    <c:v>4, -6</c:v>
                  </c:pt>
                  <c:pt idx="99">
                    <c:v>5, -6</c:v>
                  </c:pt>
                  <c:pt idx="100">
                    <c:v>6, -6</c:v>
                  </c:pt>
                  <c:pt idx="101">
                    <c:v>7, -6</c:v>
                  </c:pt>
                  <c:pt idx="102">
                    <c:v>8, -6</c:v>
                  </c:pt>
                  <c:pt idx="103">
                    <c:v>9, -6</c:v>
                  </c:pt>
                  <c:pt idx="104">
                    <c:v>10, -6</c:v>
                  </c:pt>
                  <c:pt idx="105">
                    <c:v>-10, -5</c:v>
                  </c:pt>
                  <c:pt idx="106">
                    <c:v>-9, -5</c:v>
                  </c:pt>
                  <c:pt idx="107">
                    <c:v>-8, -5</c:v>
                  </c:pt>
                  <c:pt idx="108">
                    <c:v>-7, -5</c:v>
                  </c:pt>
                  <c:pt idx="109">
                    <c:v>-6, -5</c:v>
                  </c:pt>
                  <c:pt idx="110">
                    <c:v>-5, -5</c:v>
                  </c:pt>
                  <c:pt idx="111">
                    <c:v>-4, -5</c:v>
                  </c:pt>
                  <c:pt idx="112">
                    <c:v>-3, -5</c:v>
                  </c:pt>
                  <c:pt idx="113">
                    <c:v>-2, -5</c:v>
                  </c:pt>
                  <c:pt idx="114">
                    <c:v>-1, -5</c:v>
                  </c:pt>
                  <c:pt idx="115">
                    <c:v>0, -5</c:v>
                  </c:pt>
                  <c:pt idx="116">
                    <c:v>1, -5</c:v>
                  </c:pt>
                  <c:pt idx="117">
                    <c:v>2, -5</c:v>
                  </c:pt>
                  <c:pt idx="118">
                    <c:v>3, -5</c:v>
                  </c:pt>
                  <c:pt idx="119">
                    <c:v>4, -5</c:v>
                  </c:pt>
                  <c:pt idx="120">
                    <c:v>5, -5</c:v>
                  </c:pt>
                  <c:pt idx="121">
                    <c:v>6, -5</c:v>
                  </c:pt>
                  <c:pt idx="122">
                    <c:v>7, -5</c:v>
                  </c:pt>
                  <c:pt idx="123">
                    <c:v>8, -5</c:v>
                  </c:pt>
                  <c:pt idx="124">
                    <c:v>9, -5</c:v>
                  </c:pt>
                  <c:pt idx="125">
                    <c:v>10, -5</c:v>
                  </c:pt>
                  <c:pt idx="126">
                    <c:v>-10, -4</c:v>
                  </c:pt>
                  <c:pt idx="127">
                    <c:v>-9, -4</c:v>
                  </c:pt>
                  <c:pt idx="128">
                    <c:v>-8, -4</c:v>
                  </c:pt>
                  <c:pt idx="129">
                    <c:v>-7, -4</c:v>
                  </c:pt>
                  <c:pt idx="130">
                    <c:v>-6, -4</c:v>
                  </c:pt>
                  <c:pt idx="131">
                    <c:v>-5, -4</c:v>
                  </c:pt>
                  <c:pt idx="132">
                    <c:v>-4, -4</c:v>
                  </c:pt>
                  <c:pt idx="133">
                    <c:v>-3, -4</c:v>
                  </c:pt>
                  <c:pt idx="134">
                    <c:v>-2, -4</c:v>
                  </c:pt>
                  <c:pt idx="135">
                    <c:v>-1, -4</c:v>
                  </c:pt>
                  <c:pt idx="136">
                    <c:v>0, -4</c:v>
                  </c:pt>
                  <c:pt idx="137">
                    <c:v>1, -4</c:v>
                  </c:pt>
                  <c:pt idx="138">
                    <c:v>2, -4</c:v>
                  </c:pt>
                  <c:pt idx="139">
                    <c:v>3, -4</c:v>
                  </c:pt>
                  <c:pt idx="140">
                    <c:v>4, -4</c:v>
                  </c:pt>
                  <c:pt idx="141">
                    <c:v>5, -4</c:v>
                  </c:pt>
                  <c:pt idx="142">
                    <c:v>6, -4</c:v>
                  </c:pt>
                  <c:pt idx="143">
                    <c:v>7, -4</c:v>
                  </c:pt>
                  <c:pt idx="144">
                    <c:v>8, -4</c:v>
                  </c:pt>
                  <c:pt idx="145">
                    <c:v>9, -4</c:v>
                  </c:pt>
                  <c:pt idx="146">
                    <c:v>10, -4</c:v>
                  </c:pt>
                  <c:pt idx="147">
                    <c:v>-10, -3</c:v>
                  </c:pt>
                  <c:pt idx="148">
                    <c:v>-9, -3</c:v>
                  </c:pt>
                  <c:pt idx="149">
                    <c:v>-8, -3</c:v>
                  </c:pt>
                  <c:pt idx="150">
                    <c:v>-7, -3</c:v>
                  </c:pt>
                  <c:pt idx="151">
                    <c:v>-6, -3</c:v>
                  </c:pt>
                  <c:pt idx="152">
                    <c:v>-5, -3</c:v>
                  </c:pt>
                  <c:pt idx="153">
                    <c:v>-4, -3</c:v>
                  </c:pt>
                  <c:pt idx="154">
                    <c:v>-3, -3</c:v>
                  </c:pt>
                  <c:pt idx="155">
                    <c:v>-2, -3</c:v>
                  </c:pt>
                  <c:pt idx="156">
                    <c:v>-1, -3</c:v>
                  </c:pt>
                  <c:pt idx="157">
                    <c:v>0, -3</c:v>
                  </c:pt>
                  <c:pt idx="158">
                    <c:v>1, -3</c:v>
                  </c:pt>
                  <c:pt idx="159">
                    <c:v>2, -3</c:v>
                  </c:pt>
                  <c:pt idx="160">
                    <c:v>3, -3</c:v>
                  </c:pt>
                  <c:pt idx="161">
                    <c:v>4, -3</c:v>
                  </c:pt>
                  <c:pt idx="162">
                    <c:v>5, -3</c:v>
                  </c:pt>
                  <c:pt idx="163">
                    <c:v>6, -3</c:v>
                  </c:pt>
                  <c:pt idx="164">
                    <c:v>7, -3</c:v>
                  </c:pt>
                  <c:pt idx="165">
                    <c:v>8, -3</c:v>
                  </c:pt>
                  <c:pt idx="166">
                    <c:v>9, -3</c:v>
                  </c:pt>
                  <c:pt idx="167">
                    <c:v>10, -3</c:v>
                  </c:pt>
                  <c:pt idx="168">
                    <c:v>-10, -2</c:v>
                  </c:pt>
                  <c:pt idx="169">
                    <c:v>-9, -2</c:v>
                  </c:pt>
                  <c:pt idx="170">
                    <c:v>-8, -2</c:v>
                  </c:pt>
                  <c:pt idx="171">
                    <c:v>-7, -2</c:v>
                  </c:pt>
                  <c:pt idx="172">
                    <c:v>-6, -2</c:v>
                  </c:pt>
                  <c:pt idx="173">
                    <c:v>-5, -2</c:v>
                  </c:pt>
                  <c:pt idx="174">
                    <c:v>-4, -2</c:v>
                  </c:pt>
                  <c:pt idx="175">
                    <c:v>-3, -2</c:v>
                  </c:pt>
                  <c:pt idx="176">
                    <c:v>-2, -2</c:v>
                  </c:pt>
                  <c:pt idx="177">
                    <c:v>-1, -2</c:v>
                  </c:pt>
                  <c:pt idx="178">
                    <c:v>0, -2</c:v>
                  </c:pt>
                  <c:pt idx="179">
                    <c:v>1, -2</c:v>
                  </c:pt>
                  <c:pt idx="180">
                    <c:v>2, -2</c:v>
                  </c:pt>
                  <c:pt idx="181">
                    <c:v>3, -2</c:v>
                  </c:pt>
                  <c:pt idx="182">
                    <c:v>4, -2</c:v>
                  </c:pt>
                  <c:pt idx="183">
                    <c:v>5, -2</c:v>
                  </c:pt>
                  <c:pt idx="184">
                    <c:v>6, -2</c:v>
                  </c:pt>
                  <c:pt idx="185">
                    <c:v>7, -2</c:v>
                  </c:pt>
                  <c:pt idx="186">
                    <c:v>8, -2</c:v>
                  </c:pt>
                  <c:pt idx="187">
                    <c:v>9, -2</c:v>
                  </c:pt>
                  <c:pt idx="188">
                    <c:v>10, -2</c:v>
                  </c:pt>
                  <c:pt idx="189">
                    <c:v>-10, -1</c:v>
                  </c:pt>
                  <c:pt idx="190">
                    <c:v>-9, -1</c:v>
                  </c:pt>
                  <c:pt idx="191">
                    <c:v>-8, -1</c:v>
                  </c:pt>
                  <c:pt idx="192">
                    <c:v>-7, -1</c:v>
                  </c:pt>
                  <c:pt idx="193">
                    <c:v>-6, -1</c:v>
                  </c:pt>
                  <c:pt idx="194">
                    <c:v>-5, -1</c:v>
                  </c:pt>
                  <c:pt idx="195">
                    <c:v>-4, -1</c:v>
                  </c:pt>
                  <c:pt idx="196">
                    <c:v>-3, -1</c:v>
                  </c:pt>
                  <c:pt idx="197">
                    <c:v>-2, -1</c:v>
                  </c:pt>
                  <c:pt idx="198">
                    <c:v>-1, -1</c:v>
                  </c:pt>
                  <c:pt idx="199">
                    <c:v>0, -1</c:v>
                  </c:pt>
                  <c:pt idx="200">
                    <c:v>1, -1</c:v>
                  </c:pt>
                  <c:pt idx="201">
                    <c:v>2, -1</c:v>
                  </c:pt>
                  <c:pt idx="202">
                    <c:v>3, -1</c:v>
                  </c:pt>
                  <c:pt idx="203">
                    <c:v>4, -1</c:v>
                  </c:pt>
                  <c:pt idx="204">
                    <c:v>5, -1</c:v>
                  </c:pt>
                  <c:pt idx="205">
                    <c:v>6, -1</c:v>
                  </c:pt>
                  <c:pt idx="206">
                    <c:v>7, -1</c:v>
                  </c:pt>
                  <c:pt idx="207">
                    <c:v>8, -1</c:v>
                  </c:pt>
                  <c:pt idx="208">
                    <c:v>9, -1</c:v>
                  </c:pt>
                  <c:pt idx="209">
                    <c:v>10, -1</c:v>
                  </c:pt>
                  <c:pt idx="210">
                    <c:v>-10, 0</c:v>
                  </c:pt>
                  <c:pt idx="211">
                    <c:v>-9, 0</c:v>
                  </c:pt>
                  <c:pt idx="212">
                    <c:v>-8, 0</c:v>
                  </c:pt>
                  <c:pt idx="213">
                    <c:v>-7, 0</c:v>
                  </c:pt>
                  <c:pt idx="214">
                    <c:v>-6, 0</c:v>
                  </c:pt>
                  <c:pt idx="215">
                    <c:v>-5, 0</c:v>
                  </c:pt>
                  <c:pt idx="216">
                    <c:v>-4, 0</c:v>
                  </c:pt>
                  <c:pt idx="217">
                    <c:v>-3, 0</c:v>
                  </c:pt>
                  <c:pt idx="218">
                    <c:v>-2, 0</c:v>
                  </c:pt>
                  <c:pt idx="219">
                    <c:v>-1, 0</c:v>
                  </c:pt>
                  <c:pt idx="220">
                    <c:v>0, 0</c:v>
                  </c:pt>
                  <c:pt idx="221">
                    <c:v>1, 0</c:v>
                  </c:pt>
                  <c:pt idx="222">
                    <c:v>2, 0</c:v>
                  </c:pt>
                  <c:pt idx="223">
                    <c:v>3, 0</c:v>
                  </c:pt>
                  <c:pt idx="224">
                    <c:v>4, 0</c:v>
                  </c:pt>
                  <c:pt idx="225">
                    <c:v>5, 0</c:v>
                  </c:pt>
                  <c:pt idx="226">
                    <c:v>6, 0</c:v>
                  </c:pt>
                  <c:pt idx="227">
                    <c:v>7, 0</c:v>
                  </c:pt>
                  <c:pt idx="228">
                    <c:v>8, 0</c:v>
                  </c:pt>
                  <c:pt idx="229">
                    <c:v>9, 0</c:v>
                  </c:pt>
                  <c:pt idx="230">
                    <c:v>10, 0</c:v>
                  </c:pt>
                  <c:pt idx="231">
                    <c:v>-10, 1</c:v>
                  </c:pt>
                  <c:pt idx="232">
                    <c:v>-9, 1</c:v>
                  </c:pt>
                  <c:pt idx="233">
                    <c:v>-8, 1</c:v>
                  </c:pt>
                  <c:pt idx="234">
                    <c:v>-7, 1</c:v>
                  </c:pt>
                  <c:pt idx="235">
                    <c:v>-6, 1</c:v>
                  </c:pt>
                  <c:pt idx="236">
                    <c:v>-5, 1</c:v>
                  </c:pt>
                  <c:pt idx="237">
                    <c:v>-4, 1</c:v>
                  </c:pt>
                  <c:pt idx="238">
                    <c:v>-3, 1</c:v>
                  </c:pt>
                  <c:pt idx="239">
                    <c:v>-2, 1</c:v>
                  </c:pt>
                  <c:pt idx="240">
                    <c:v>-1, 1</c:v>
                  </c:pt>
                  <c:pt idx="241">
                    <c:v>0, 1</c:v>
                  </c:pt>
                  <c:pt idx="242">
                    <c:v>1, 1</c:v>
                  </c:pt>
                  <c:pt idx="243">
                    <c:v>2, 1</c:v>
                  </c:pt>
                  <c:pt idx="244">
                    <c:v>3, 1</c:v>
                  </c:pt>
                  <c:pt idx="245">
                    <c:v>4, 1</c:v>
                  </c:pt>
                  <c:pt idx="246">
                    <c:v>5, 1</c:v>
                  </c:pt>
                  <c:pt idx="247">
                    <c:v>6, 1</c:v>
                  </c:pt>
                  <c:pt idx="248">
                    <c:v>7, 1</c:v>
                  </c:pt>
                  <c:pt idx="249">
                    <c:v>8, 1</c:v>
                  </c:pt>
                  <c:pt idx="250">
                    <c:v>9, 1</c:v>
                  </c:pt>
                  <c:pt idx="251">
                    <c:v>10, 1</c:v>
                  </c:pt>
                  <c:pt idx="252">
                    <c:v>-10, 2</c:v>
                  </c:pt>
                  <c:pt idx="253">
                    <c:v>-9, 2</c:v>
                  </c:pt>
                  <c:pt idx="254">
                    <c:v>-8, 2</c:v>
                  </c:pt>
                  <c:pt idx="255">
                    <c:v>-7, 2</c:v>
                  </c:pt>
                  <c:pt idx="256">
                    <c:v>-6, 2</c:v>
                  </c:pt>
                  <c:pt idx="257">
                    <c:v>-5, 2</c:v>
                  </c:pt>
                  <c:pt idx="258">
                    <c:v>-4, 2</c:v>
                  </c:pt>
                  <c:pt idx="259">
                    <c:v>-3, 2</c:v>
                  </c:pt>
                  <c:pt idx="260">
                    <c:v>-2, 2</c:v>
                  </c:pt>
                  <c:pt idx="261">
                    <c:v>-1, 2</c:v>
                  </c:pt>
                  <c:pt idx="262">
                    <c:v>0, 2</c:v>
                  </c:pt>
                  <c:pt idx="263">
                    <c:v>1, 2</c:v>
                  </c:pt>
                  <c:pt idx="264">
                    <c:v>2, 2</c:v>
                  </c:pt>
                  <c:pt idx="265">
                    <c:v>3, 2</c:v>
                  </c:pt>
                  <c:pt idx="266">
                    <c:v>4, 2</c:v>
                  </c:pt>
                  <c:pt idx="267">
                    <c:v>5, 2</c:v>
                  </c:pt>
                  <c:pt idx="268">
                    <c:v>6, 2</c:v>
                  </c:pt>
                  <c:pt idx="269">
                    <c:v>7, 2</c:v>
                  </c:pt>
                  <c:pt idx="270">
                    <c:v>8, 2</c:v>
                  </c:pt>
                  <c:pt idx="271">
                    <c:v>9, 2</c:v>
                  </c:pt>
                  <c:pt idx="272">
                    <c:v>10, 2</c:v>
                  </c:pt>
                  <c:pt idx="273">
                    <c:v>-10, 3</c:v>
                  </c:pt>
                  <c:pt idx="274">
                    <c:v>-9, 3</c:v>
                  </c:pt>
                  <c:pt idx="275">
                    <c:v>-8, 3</c:v>
                  </c:pt>
                  <c:pt idx="276">
                    <c:v>-7, 3</c:v>
                  </c:pt>
                  <c:pt idx="277">
                    <c:v>-6, 3</c:v>
                  </c:pt>
                  <c:pt idx="278">
                    <c:v>-5, 3</c:v>
                  </c:pt>
                  <c:pt idx="279">
                    <c:v>-4, 3</c:v>
                  </c:pt>
                  <c:pt idx="280">
                    <c:v>-3, 3</c:v>
                  </c:pt>
                  <c:pt idx="281">
                    <c:v>-2, 3</c:v>
                  </c:pt>
                  <c:pt idx="282">
                    <c:v>-1, 3</c:v>
                  </c:pt>
                  <c:pt idx="283">
                    <c:v>0, 3</c:v>
                  </c:pt>
                  <c:pt idx="284">
                    <c:v>1, 3</c:v>
                  </c:pt>
                  <c:pt idx="285">
                    <c:v>2, 3</c:v>
                  </c:pt>
                  <c:pt idx="286">
                    <c:v>3, 3</c:v>
                  </c:pt>
                  <c:pt idx="287">
                    <c:v>4, 3</c:v>
                  </c:pt>
                  <c:pt idx="288">
                    <c:v>5, 3</c:v>
                  </c:pt>
                  <c:pt idx="289">
                    <c:v>6, 3</c:v>
                  </c:pt>
                  <c:pt idx="290">
                    <c:v>7, 3</c:v>
                  </c:pt>
                  <c:pt idx="291">
                    <c:v>8, 3</c:v>
                  </c:pt>
                  <c:pt idx="292">
                    <c:v>9, 3</c:v>
                  </c:pt>
                  <c:pt idx="293">
                    <c:v>10, 3</c:v>
                  </c:pt>
                  <c:pt idx="294">
                    <c:v>-10, 4</c:v>
                  </c:pt>
                  <c:pt idx="295">
                    <c:v>-9, 4</c:v>
                  </c:pt>
                  <c:pt idx="296">
                    <c:v>-8, 4</c:v>
                  </c:pt>
                  <c:pt idx="297">
                    <c:v>-7, 4</c:v>
                  </c:pt>
                  <c:pt idx="298">
                    <c:v>-6, 4</c:v>
                  </c:pt>
                  <c:pt idx="299">
                    <c:v>-5, 4</c:v>
                  </c:pt>
                  <c:pt idx="300">
                    <c:v>-4, 4</c:v>
                  </c:pt>
                  <c:pt idx="301">
                    <c:v>-3, 4</c:v>
                  </c:pt>
                  <c:pt idx="302">
                    <c:v>-2, 4</c:v>
                  </c:pt>
                  <c:pt idx="303">
                    <c:v>-1, 4</c:v>
                  </c:pt>
                  <c:pt idx="304">
                    <c:v>0, 4</c:v>
                  </c:pt>
                  <c:pt idx="305">
                    <c:v>1, 4</c:v>
                  </c:pt>
                  <c:pt idx="306">
                    <c:v>2, 4</c:v>
                  </c:pt>
                  <c:pt idx="307">
                    <c:v>3, 4</c:v>
                  </c:pt>
                  <c:pt idx="308">
                    <c:v>4, 4</c:v>
                  </c:pt>
                  <c:pt idx="309">
                    <c:v>5, 4</c:v>
                  </c:pt>
                  <c:pt idx="310">
                    <c:v>6, 4</c:v>
                  </c:pt>
                  <c:pt idx="311">
                    <c:v>7, 4</c:v>
                  </c:pt>
                  <c:pt idx="312">
                    <c:v>8, 4</c:v>
                  </c:pt>
                  <c:pt idx="313">
                    <c:v>9, 4</c:v>
                  </c:pt>
                  <c:pt idx="314">
                    <c:v>10, 4</c:v>
                  </c:pt>
                  <c:pt idx="315">
                    <c:v>-10, 5</c:v>
                  </c:pt>
                  <c:pt idx="316">
                    <c:v>-9, 5</c:v>
                  </c:pt>
                  <c:pt idx="317">
                    <c:v>-8, 5</c:v>
                  </c:pt>
                  <c:pt idx="318">
                    <c:v>-7, 5</c:v>
                  </c:pt>
                  <c:pt idx="319">
                    <c:v>-6, 5</c:v>
                  </c:pt>
                  <c:pt idx="320">
                    <c:v>-5, 5</c:v>
                  </c:pt>
                  <c:pt idx="321">
                    <c:v>-4, 5</c:v>
                  </c:pt>
                  <c:pt idx="322">
                    <c:v>-3, 5</c:v>
                  </c:pt>
                  <c:pt idx="323">
                    <c:v>-2, 5</c:v>
                  </c:pt>
                  <c:pt idx="324">
                    <c:v>-1, 5</c:v>
                  </c:pt>
                  <c:pt idx="325">
                    <c:v>0, 5</c:v>
                  </c:pt>
                  <c:pt idx="326">
                    <c:v>1, 5</c:v>
                  </c:pt>
                  <c:pt idx="327">
                    <c:v>2, 5</c:v>
                  </c:pt>
                  <c:pt idx="328">
                    <c:v>3, 5</c:v>
                  </c:pt>
                  <c:pt idx="329">
                    <c:v>4, 5</c:v>
                  </c:pt>
                  <c:pt idx="330">
                    <c:v>5, 5</c:v>
                  </c:pt>
                  <c:pt idx="331">
                    <c:v>6, 5</c:v>
                  </c:pt>
                  <c:pt idx="332">
                    <c:v>7, 5</c:v>
                  </c:pt>
                  <c:pt idx="333">
                    <c:v>8, 5</c:v>
                  </c:pt>
                  <c:pt idx="334">
                    <c:v>9, 5</c:v>
                  </c:pt>
                  <c:pt idx="335">
                    <c:v>10, 5</c:v>
                  </c:pt>
                  <c:pt idx="336">
                    <c:v>-10, 6</c:v>
                  </c:pt>
                  <c:pt idx="337">
                    <c:v>-9, 6</c:v>
                  </c:pt>
                  <c:pt idx="338">
                    <c:v>-8, 6</c:v>
                  </c:pt>
                  <c:pt idx="339">
                    <c:v>-7, 6</c:v>
                  </c:pt>
                  <c:pt idx="340">
                    <c:v>-6, 6</c:v>
                  </c:pt>
                  <c:pt idx="341">
                    <c:v>-5, 6</c:v>
                  </c:pt>
                  <c:pt idx="342">
                    <c:v>-4, 6</c:v>
                  </c:pt>
                  <c:pt idx="343">
                    <c:v>-3, 6</c:v>
                  </c:pt>
                  <c:pt idx="344">
                    <c:v>-2, 6</c:v>
                  </c:pt>
                  <c:pt idx="345">
                    <c:v>-1, 6</c:v>
                  </c:pt>
                  <c:pt idx="346">
                    <c:v>0, 6</c:v>
                  </c:pt>
                  <c:pt idx="347">
                    <c:v>1, 6</c:v>
                  </c:pt>
                  <c:pt idx="348">
                    <c:v>2, 6</c:v>
                  </c:pt>
                  <c:pt idx="349">
                    <c:v>3, 6</c:v>
                  </c:pt>
                  <c:pt idx="350">
                    <c:v>4, 6</c:v>
                  </c:pt>
                  <c:pt idx="351">
                    <c:v>5, 6</c:v>
                  </c:pt>
                  <c:pt idx="352">
                    <c:v>6, 6</c:v>
                  </c:pt>
                  <c:pt idx="353">
                    <c:v>7, 6</c:v>
                  </c:pt>
                  <c:pt idx="354">
                    <c:v>8, 6</c:v>
                  </c:pt>
                  <c:pt idx="355">
                    <c:v>9, 6</c:v>
                  </c:pt>
                  <c:pt idx="356">
                    <c:v>10, 6</c:v>
                  </c:pt>
                  <c:pt idx="357">
                    <c:v>-10, 7</c:v>
                  </c:pt>
                  <c:pt idx="358">
                    <c:v>-9, 7</c:v>
                  </c:pt>
                  <c:pt idx="359">
                    <c:v>-8, 7</c:v>
                  </c:pt>
                  <c:pt idx="360">
                    <c:v>-7, 7</c:v>
                  </c:pt>
                  <c:pt idx="361">
                    <c:v>-6, 7</c:v>
                  </c:pt>
                  <c:pt idx="362">
                    <c:v>-5, 7</c:v>
                  </c:pt>
                  <c:pt idx="363">
                    <c:v>-4, 7</c:v>
                  </c:pt>
                  <c:pt idx="364">
                    <c:v>-3, 7</c:v>
                  </c:pt>
                  <c:pt idx="365">
                    <c:v>-2, 7</c:v>
                  </c:pt>
                  <c:pt idx="366">
                    <c:v>-1, 7</c:v>
                  </c:pt>
                  <c:pt idx="367">
                    <c:v>0, 7</c:v>
                  </c:pt>
                  <c:pt idx="368">
                    <c:v>1, 7</c:v>
                  </c:pt>
                  <c:pt idx="369">
                    <c:v>2, 7</c:v>
                  </c:pt>
                  <c:pt idx="370">
                    <c:v>3, 7</c:v>
                  </c:pt>
                  <c:pt idx="371">
                    <c:v>4, 7</c:v>
                  </c:pt>
                  <c:pt idx="372">
                    <c:v>5, 7</c:v>
                  </c:pt>
                  <c:pt idx="373">
                    <c:v>6, 7</c:v>
                  </c:pt>
                  <c:pt idx="374">
                    <c:v>7, 7</c:v>
                  </c:pt>
                  <c:pt idx="375">
                    <c:v>8, 7</c:v>
                  </c:pt>
                  <c:pt idx="376">
                    <c:v>9, 7</c:v>
                  </c:pt>
                  <c:pt idx="377">
                    <c:v>10, 7</c:v>
                  </c:pt>
                  <c:pt idx="378">
                    <c:v>-10, 8</c:v>
                  </c:pt>
                  <c:pt idx="379">
                    <c:v>-9, 8</c:v>
                  </c:pt>
                  <c:pt idx="380">
                    <c:v>-8, 8</c:v>
                  </c:pt>
                  <c:pt idx="381">
                    <c:v>-7, 8</c:v>
                  </c:pt>
                  <c:pt idx="382">
                    <c:v>-6, 8</c:v>
                  </c:pt>
                  <c:pt idx="383">
                    <c:v>-5, 8</c:v>
                  </c:pt>
                  <c:pt idx="384">
                    <c:v>-4, 8</c:v>
                  </c:pt>
                  <c:pt idx="385">
                    <c:v>-3, 8</c:v>
                  </c:pt>
                  <c:pt idx="386">
                    <c:v>-2, 8</c:v>
                  </c:pt>
                  <c:pt idx="387">
                    <c:v>-1, 8</c:v>
                  </c:pt>
                  <c:pt idx="388">
                    <c:v>0, 8</c:v>
                  </c:pt>
                  <c:pt idx="389">
                    <c:v>1, 8</c:v>
                  </c:pt>
                  <c:pt idx="390">
                    <c:v>2, 8</c:v>
                  </c:pt>
                  <c:pt idx="391">
                    <c:v>3, 8</c:v>
                  </c:pt>
                  <c:pt idx="392">
                    <c:v>4, 8</c:v>
                  </c:pt>
                  <c:pt idx="393">
                    <c:v>5, 8</c:v>
                  </c:pt>
                  <c:pt idx="394">
                    <c:v>6, 8</c:v>
                  </c:pt>
                  <c:pt idx="395">
                    <c:v>7, 8</c:v>
                  </c:pt>
                  <c:pt idx="396">
                    <c:v>8, 8</c:v>
                  </c:pt>
                  <c:pt idx="397">
                    <c:v>9, 8</c:v>
                  </c:pt>
                  <c:pt idx="398">
                    <c:v>10, 8</c:v>
                  </c:pt>
                  <c:pt idx="399">
                    <c:v>-10, 9</c:v>
                  </c:pt>
                  <c:pt idx="400">
                    <c:v>-9, 9</c:v>
                  </c:pt>
                  <c:pt idx="401">
                    <c:v>-8, 9</c:v>
                  </c:pt>
                  <c:pt idx="402">
                    <c:v>-7, 9</c:v>
                  </c:pt>
                  <c:pt idx="403">
                    <c:v>-6, 9</c:v>
                  </c:pt>
                  <c:pt idx="404">
                    <c:v>-5, 9</c:v>
                  </c:pt>
                  <c:pt idx="405">
                    <c:v>-4, 9</c:v>
                  </c:pt>
                  <c:pt idx="406">
                    <c:v>-3, 9</c:v>
                  </c:pt>
                  <c:pt idx="407">
                    <c:v>-2, 9</c:v>
                  </c:pt>
                  <c:pt idx="408">
                    <c:v>-1, 9</c:v>
                  </c:pt>
                  <c:pt idx="409">
                    <c:v>0, 9</c:v>
                  </c:pt>
                  <c:pt idx="410">
                    <c:v>1, 9</c:v>
                  </c:pt>
                  <c:pt idx="411">
                    <c:v>2, 9</c:v>
                  </c:pt>
                  <c:pt idx="412">
                    <c:v>3, 9</c:v>
                  </c:pt>
                  <c:pt idx="413">
                    <c:v>4, 9</c:v>
                  </c:pt>
                  <c:pt idx="414">
                    <c:v>5, 9</c:v>
                  </c:pt>
                  <c:pt idx="415">
                    <c:v>6, 9</c:v>
                  </c:pt>
                  <c:pt idx="416">
                    <c:v>7, 9</c:v>
                  </c:pt>
                  <c:pt idx="417">
                    <c:v>8, 9</c:v>
                  </c:pt>
                  <c:pt idx="418">
                    <c:v>9, 9</c:v>
                  </c:pt>
                  <c:pt idx="419">
                    <c:v>10, 9</c:v>
                  </c:pt>
                  <c:pt idx="420">
                    <c:v>-10, 10</c:v>
                  </c:pt>
                  <c:pt idx="421">
                    <c:v>-9, 10</c:v>
                  </c:pt>
                  <c:pt idx="422">
                    <c:v>-8, 10</c:v>
                  </c:pt>
                  <c:pt idx="423">
                    <c:v>-7, 10</c:v>
                  </c:pt>
                  <c:pt idx="424">
                    <c:v>-6, 10</c:v>
                  </c:pt>
                  <c:pt idx="425">
                    <c:v>-5, 10</c:v>
                  </c:pt>
                  <c:pt idx="426">
                    <c:v>-4, 10</c:v>
                  </c:pt>
                  <c:pt idx="427">
                    <c:v>-3, 10</c:v>
                  </c:pt>
                  <c:pt idx="428">
                    <c:v>-2, 10</c:v>
                  </c:pt>
                  <c:pt idx="429">
                    <c:v>-1, 10</c:v>
                  </c:pt>
                  <c:pt idx="430">
                    <c:v>0, 10</c:v>
                  </c:pt>
                  <c:pt idx="431">
                    <c:v>1, 10</c:v>
                  </c:pt>
                  <c:pt idx="432">
                    <c:v>2, 10</c:v>
                  </c:pt>
                  <c:pt idx="433">
                    <c:v>3, 10</c:v>
                  </c:pt>
                  <c:pt idx="434">
                    <c:v>4, 10</c:v>
                  </c:pt>
                  <c:pt idx="435">
                    <c:v>5, 10</c:v>
                  </c:pt>
                  <c:pt idx="436">
                    <c:v>6, 10</c:v>
                  </c:pt>
                  <c:pt idx="437">
                    <c:v>7, 10</c:v>
                  </c:pt>
                  <c:pt idx="438">
                    <c:v>8, 10</c:v>
                  </c:pt>
                  <c:pt idx="439">
                    <c:v>9, 10</c:v>
                  </c:pt>
                  <c:pt idx="440">
                    <c:v>10, 10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289-940E-41A3-9BD0-604611080B4B}"/>
            </c:ext>
          </c:extLst>
        </c:ser>
        <c:ser>
          <c:idx val="1"/>
          <c:order val="1"/>
          <c:tx>
            <c:strRef>
              <c:f>Paths!$C$1</c:f>
              <c:strCache>
                <c:ptCount val="1"/>
                <c:pt idx="0">
                  <c:v>Paths</c:v>
                </c:pt>
              </c:strCache>
            </c:strRef>
          </c:tx>
          <c:spPr>
            <a:ln w="22225">
              <a:solidFill>
                <a:srgbClr val="00B0F0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Paths!$A$2:$A$400</c:f>
              <c:numCache>
                <c:formatCode>General</c:formatCode>
                <c:ptCount val="399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0</c:v>
                </c:pt>
                <c:pt idx="10">
                  <c:v>0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8">
                  <c:v>1</c:v>
                </c:pt>
                <c:pt idx="19">
                  <c:v>1</c:v>
                </c:pt>
                <c:pt idx="21">
                  <c:v>1</c:v>
                </c:pt>
                <c:pt idx="22">
                  <c:v>1</c:v>
                </c:pt>
                <c:pt idx="24">
                  <c:v>1</c:v>
                </c:pt>
                <c:pt idx="25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0</c:v>
                </c:pt>
                <c:pt idx="31">
                  <c:v>0</c:v>
                </c:pt>
                <c:pt idx="33">
                  <c:v>2</c:v>
                </c:pt>
                <c:pt idx="34">
                  <c:v>2</c:v>
                </c:pt>
                <c:pt idx="36">
                  <c:v>2</c:v>
                </c:pt>
                <c:pt idx="37">
                  <c:v>2</c:v>
                </c:pt>
                <c:pt idx="39">
                  <c:v>2</c:v>
                </c:pt>
                <c:pt idx="40">
                  <c:v>2</c:v>
                </c:pt>
                <c:pt idx="42">
                  <c:v>2</c:v>
                </c:pt>
                <c:pt idx="43">
                  <c:v>2</c:v>
                </c:pt>
                <c:pt idx="45">
                  <c:v>2</c:v>
                </c:pt>
                <c:pt idx="46">
                  <c:v>2</c:v>
                </c:pt>
                <c:pt idx="48">
                  <c:v>2</c:v>
                </c:pt>
                <c:pt idx="49">
                  <c:v>2</c:v>
                </c:pt>
                <c:pt idx="51">
                  <c:v>0</c:v>
                </c:pt>
                <c:pt idx="52">
                  <c:v>0</c:v>
                </c:pt>
                <c:pt idx="54">
                  <c:v>3</c:v>
                </c:pt>
                <c:pt idx="55">
                  <c:v>3</c:v>
                </c:pt>
                <c:pt idx="57">
                  <c:v>3</c:v>
                </c:pt>
                <c:pt idx="58">
                  <c:v>3</c:v>
                </c:pt>
                <c:pt idx="60">
                  <c:v>3</c:v>
                </c:pt>
                <c:pt idx="61">
                  <c:v>3</c:v>
                </c:pt>
                <c:pt idx="63">
                  <c:v>3</c:v>
                </c:pt>
                <c:pt idx="64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0">
                  <c:v>3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10</c:v>
                </c:pt>
                <c:pt idx="81">
                  <c:v>10</c:v>
                </c:pt>
                <c:pt idx="82">
                  <c:v>10</c:v>
                </c:pt>
                <c:pt idx="84">
                  <c:v>10</c:v>
                </c:pt>
                <c:pt idx="85">
                  <c:v>-10</c:v>
                </c:pt>
                <c:pt idx="87">
                  <c:v>-10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3</c:v>
                </c:pt>
                <c:pt idx="122">
                  <c:v>3</c:v>
                </c:pt>
                <c:pt idx="123">
                  <c:v>1</c:v>
                </c:pt>
                <c:pt idx="124">
                  <c:v>1</c:v>
                </c:pt>
                <c:pt idx="127">
                  <c:v>3</c:v>
                </c:pt>
                <c:pt idx="128">
                  <c:v>3</c:v>
                </c:pt>
                <c:pt idx="129">
                  <c:v>1</c:v>
                </c:pt>
                <c:pt idx="130">
                  <c:v>1</c:v>
                </c:pt>
              </c:numCache>
            </c:numRef>
          </c:xVal>
          <c:yVal>
            <c:numRef>
              <c:f>Paths!$B$2:$B$400</c:f>
              <c:numCache>
                <c:formatCode>General</c:formatCode>
                <c:ptCount val="399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1</c:v>
                </c:pt>
                <c:pt idx="15">
                  <c:v>1</c:v>
                </c:pt>
                <c:pt idx="16">
                  <c:v>2</c:v>
                </c:pt>
                <c:pt idx="18">
                  <c:v>2</c:v>
                </c:pt>
                <c:pt idx="19">
                  <c:v>3</c:v>
                </c:pt>
                <c:pt idx="21">
                  <c:v>3</c:v>
                </c:pt>
                <c:pt idx="22">
                  <c:v>4</c:v>
                </c:pt>
                <c:pt idx="24">
                  <c:v>4</c:v>
                </c:pt>
                <c:pt idx="25">
                  <c:v>5</c:v>
                </c:pt>
                <c:pt idx="27">
                  <c:v>5</c:v>
                </c:pt>
                <c:pt idx="28">
                  <c:v>6</c:v>
                </c:pt>
                <c:pt idx="30">
                  <c:v>0</c:v>
                </c:pt>
                <c:pt idx="31">
                  <c:v>0</c:v>
                </c:pt>
                <c:pt idx="33">
                  <c:v>0</c:v>
                </c:pt>
                <c:pt idx="34">
                  <c:v>-1</c:v>
                </c:pt>
                <c:pt idx="36">
                  <c:v>-1</c:v>
                </c:pt>
                <c:pt idx="37">
                  <c:v>-2</c:v>
                </c:pt>
                <c:pt idx="39">
                  <c:v>-2</c:v>
                </c:pt>
                <c:pt idx="40">
                  <c:v>-3</c:v>
                </c:pt>
                <c:pt idx="42">
                  <c:v>-3</c:v>
                </c:pt>
                <c:pt idx="43">
                  <c:v>-4</c:v>
                </c:pt>
                <c:pt idx="45">
                  <c:v>-4</c:v>
                </c:pt>
                <c:pt idx="46">
                  <c:v>-5</c:v>
                </c:pt>
                <c:pt idx="48">
                  <c:v>-5</c:v>
                </c:pt>
                <c:pt idx="49">
                  <c:v>-6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1</c:v>
                </c:pt>
                <c:pt idx="57">
                  <c:v>1</c:v>
                </c:pt>
                <c:pt idx="58">
                  <c:v>2</c:v>
                </c:pt>
                <c:pt idx="60">
                  <c:v>2</c:v>
                </c:pt>
                <c:pt idx="61">
                  <c:v>3</c:v>
                </c:pt>
                <c:pt idx="63">
                  <c:v>3</c:v>
                </c:pt>
                <c:pt idx="64">
                  <c:v>4</c:v>
                </c:pt>
                <c:pt idx="66">
                  <c:v>4</c:v>
                </c:pt>
                <c:pt idx="67">
                  <c:v>5</c:v>
                </c:pt>
                <c:pt idx="69">
                  <c:v>5</c:v>
                </c:pt>
                <c:pt idx="70">
                  <c:v>6</c:v>
                </c:pt>
                <c:pt idx="72">
                  <c:v>0</c:v>
                </c:pt>
                <c:pt idx="73">
                  <c:v>0</c:v>
                </c:pt>
                <c:pt idx="75">
                  <c:v>0</c:v>
                </c:pt>
                <c:pt idx="76">
                  <c:v>0</c:v>
                </c:pt>
                <c:pt idx="78">
                  <c:v>-10</c:v>
                </c:pt>
                <c:pt idx="79">
                  <c:v>-10</c:v>
                </c:pt>
                <c:pt idx="81">
                  <c:v>-10</c:v>
                </c:pt>
                <c:pt idx="82">
                  <c:v>10</c:v>
                </c:pt>
                <c:pt idx="84">
                  <c:v>10</c:v>
                </c:pt>
                <c:pt idx="85">
                  <c:v>10</c:v>
                </c:pt>
                <c:pt idx="87">
                  <c:v>10</c:v>
                </c:pt>
                <c:pt idx="88">
                  <c:v>-10</c:v>
                </c:pt>
                <c:pt idx="90">
                  <c:v>0</c:v>
                </c:pt>
                <c:pt idx="91">
                  <c:v>0</c:v>
                </c:pt>
                <c:pt idx="93">
                  <c:v>-10</c:v>
                </c:pt>
                <c:pt idx="94">
                  <c:v>-10</c:v>
                </c:pt>
                <c:pt idx="96">
                  <c:v>-10</c:v>
                </c:pt>
                <c:pt idx="97">
                  <c:v>-10</c:v>
                </c:pt>
                <c:pt idx="99">
                  <c:v>-10</c:v>
                </c:pt>
                <c:pt idx="100">
                  <c:v>-10</c:v>
                </c:pt>
                <c:pt idx="102">
                  <c:v>-10</c:v>
                </c:pt>
                <c:pt idx="103">
                  <c:v>-10</c:v>
                </c:pt>
                <c:pt idx="105">
                  <c:v>0</c:v>
                </c:pt>
                <c:pt idx="106">
                  <c:v>0</c:v>
                </c:pt>
                <c:pt idx="108">
                  <c:v>0</c:v>
                </c:pt>
                <c:pt idx="109">
                  <c:v>0</c:v>
                </c:pt>
                <c:pt idx="111">
                  <c:v>0</c:v>
                </c:pt>
                <c:pt idx="112">
                  <c:v>0</c:v>
                </c:pt>
                <c:pt idx="114">
                  <c:v>0</c:v>
                </c:pt>
                <c:pt idx="115">
                  <c:v>0</c:v>
                </c:pt>
                <c:pt idx="117">
                  <c:v>0</c:v>
                </c:pt>
                <c:pt idx="118">
                  <c:v>0</c:v>
                </c:pt>
                <c:pt idx="121">
                  <c:v>6</c:v>
                </c:pt>
                <c:pt idx="122">
                  <c:v>7</c:v>
                </c:pt>
                <c:pt idx="123">
                  <c:v>7</c:v>
                </c:pt>
                <c:pt idx="124">
                  <c:v>6</c:v>
                </c:pt>
                <c:pt idx="127">
                  <c:v>6</c:v>
                </c:pt>
                <c:pt idx="128">
                  <c:v>7</c:v>
                </c:pt>
                <c:pt idx="129">
                  <c:v>7</c:v>
                </c:pt>
                <c:pt idx="13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0-940E-41A3-9BD0-604611080B4B}"/>
            </c:ext>
          </c:extLst>
        </c:ser>
        <c:ser>
          <c:idx val="0"/>
          <c:order val="2"/>
          <c:tx>
            <c:strRef>
              <c:f>Spots!$C$1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gradFill>
                <a:gsLst>
                  <a:gs pos="0">
                    <a:srgbClr val="4F81BD">
                      <a:lumMod val="5000"/>
                      <a:lumOff val="95000"/>
                    </a:srgbClr>
                  </a:gs>
                  <a:gs pos="46000">
                    <a:srgbClr val="4F81BD">
                      <a:lumMod val="45000"/>
                      <a:lumOff val="55000"/>
                    </a:srgbClr>
                  </a:gs>
                  <a:gs pos="100000">
                    <a:schemeClr val="accent1">
                      <a:lumMod val="75000"/>
                    </a:schemeClr>
                  </a:gs>
                </a:gsLst>
                <a:lin ang="5400000" scaled="1"/>
              </a:gradFill>
              <a:ln w="3175">
                <a:solidFill>
                  <a:schemeClr val="accent1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1C2-940E-41A3-9BD0-604611080B4B}"/>
              </c:ext>
            </c:extLst>
          </c:dPt>
          <c:dLbls>
            <c:dLbl>
              <c:idx val="0"/>
              <c:layout>
                <c:manualLayout>
                  <c:x val="-4.1369260716376088E-2"/>
                  <c:y val="-2.2029921391318923E-2"/>
                </c:manualLayout>
              </c:layout>
              <c:tx>
                <c:rich>
                  <a:bodyPr rot="0" vertOverflow="overflow" horzOverflow="overflow" vert="horz" wrap="square" lIns="36000" tIns="36000" rIns="36000" bIns="36000" anchor="ctr" anchorCtr="0">
                    <a:noAutofit/>
                  </a:bodyPr>
                  <a:lstStyle/>
                  <a:p>
                    <a:pPr>
                      <a:defRPr sz="700">
                        <a:solidFill>
                          <a:sysClr val="windowText" lastClr="000000"/>
                        </a:solidFill>
                      </a:defRPr>
                    </a:pPr>
                    <a:fld id="{8011F720-43B3-4196-B33D-D43D7C01443F}" type="CELLRANGE">
                      <a:rPr lang="en-US"/>
                      <a:pPr>
                        <a:defRPr sz="700">
                          <a:solidFill>
                            <a:sysClr val="windowText" lastClr="000000"/>
                          </a:solidFill>
                        </a:defRPr>
                      </a:pPr>
                      <a:t>[CELLRANGE]</a:t>
                    </a:fld>
                    <a:endParaRPr lang="en-IN"/>
                  </a:p>
                </c:rich>
              </c:tx>
              <c:spPr>
                <a:gradFill>
                  <a:gsLst>
                    <a:gs pos="0">
                      <a:srgbClr val="4F81BD">
                        <a:lumMod val="5000"/>
                        <a:lumOff val="95000"/>
                        <a:alpha val="30000"/>
                      </a:srgbClr>
                    </a:gs>
                    <a:gs pos="97000">
                      <a:srgbClr val="00B0F0"/>
                    </a:gs>
                    <a:gs pos="50000">
                      <a:srgbClr val="ECF1F8"/>
                    </a:gs>
                  </a:gsLst>
                  <a:lin ang="5400000" scaled="1"/>
                </a:gradFill>
                <a:ln w="6350">
                  <a:solidFill>
                    <a:srgbClr val="00B0F0"/>
                  </a:solidFill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oundRectCallout">
                      <a:avLst/>
                    </a:prstGeom>
                  </c15:spPr>
                  <c15:layout>
                    <c:manualLayout>
                      <c:w val="3.496047280320267E-2"/>
                      <c:h val="2.0622648447835654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C2-940E-41A3-9BD0-604611080B4B}"/>
                </c:ext>
              </c:extLst>
            </c:dLbl>
            <c:dLbl>
              <c:idx val="1"/>
              <c:layout>
                <c:manualLayout>
                  <c:x val="-4.0498287057951304E-2"/>
                  <c:y val="-2.1214557470474217E-2"/>
                </c:manualLayout>
              </c:layout>
              <c:tx>
                <c:rich>
                  <a:bodyPr/>
                  <a:lstStyle/>
                  <a:p>
                    <a:fld id="{E5A238E3-CB93-4848-89AF-69AAAB014ECE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C3-940E-41A3-9BD0-604611080B4B}"/>
                </c:ext>
              </c:extLst>
            </c:dLbl>
            <c:dLbl>
              <c:idx val="2"/>
              <c:layout>
                <c:manualLayout>
                  <c:x val="-3.4403306580179066E-2"/>
                  <c:y val="-2.11276811635428E-2"/>
                </c:manualLayout>
              </c:layout>
              <c:tx>
                <c:rich>
                  <a:bodyPr/>
                  <a:lstStyle/>
                  <a:p>
                    <a:fld id="{6BD5A3D1-6C9E-4EA7-87E4-010E5E700F5D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C4-940E-41A3-9BD0-604611080B4B}"/>
                </c:ext>
              </c:extLst>
            </c:dLbl>
            <c:dLbl>
              <c:idx val="3"/>
              <c:layout>
                <c:manualLayout>
                  <c:x val="-1.1812127831569211E-2"/>
                  <c:y val="-2.121630321186636E-2"/>
                </c:manualLayout>
              </c:layout>
              <c:tx>
                <c:rich>
                  <a:bodyPr/>
                  <a:lstStyle/>
                  <a:p>
                    <a:fld id="{FF496EBE-1714-4CD9-8345-E6E2311FC419}" type="CELLRANGE">
                      <a:rPr lang="en-US"/>
                      <a:pPr/>
                      <a:t>[CELLRANGE]</a:t>
                    </a:fld>
                    <a:endParaRPr lang="en-IN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C5-940E-41A3-9BD0-604611080B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940E-41A3-9BD0-604611080B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2F4BE1-078E-4E98-B7C3-A954D25E3E4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940E-41A3-9BD0-604611080B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4E5438-36C8-4EC8-AD69-2A43AA12CDA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940E-41A3-9BD0-604611080B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76A247-9D02-4106-9DCF-B0BA872F5D6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940E-41A3-9BD0-604611080B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B785C8-2BF9-4FF5-BCCD-82AE455B1DB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940E-41A3-9BD0-604611080B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746E8B-A5F3-4E09-8B3B-411CEE0546C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940E-41A3-9BD0-604611080B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CA54E4C-7458-43EB-86CE-19E8E3939AA4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940E-41A3-9BD0-604611080B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940E-41A3-9BD0-604611080B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A017BB-92DB-4307-8560-105038FF835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940E-41A3-9BD0-604611080B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46F4BA-9461-4962-9324-E6B527EF17B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940E-41A3-9BD0-604611080B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E00485-7026-4A22-9502-476E81CF3BF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940E-41A3-9BD0-604611080B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C228B5-8991-4678-A8F8-0047F90A664E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940E-41A3-9BD0-604611080B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129D2A0-A0F5-46B3-BC5B-73B42B0F5E8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940E-41A3-9BD0-604611080B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33CAC7-DD8C-4D65-9254-E56EA19890B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940E-41A3-9BD0-604611080B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940E-41A3-9BD0-604611080B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0A280FB-61FB-4E31-9948-12CC58BDF33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940E-41A3-9BD0-604611080B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1BC35B8-2E9F-4A87-BF3B-0FFE27408E7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940E-41A3-9BD0-604611080B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0569373-1D66-4D78-A9F6-7A15D734477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940E-41A3-9BD0-604611080B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D459EE-5810-4C08-B4A4-C52F14EB030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940E-41A3-9BD0-604611080B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BB1A985-70C4-4FFF-982D-730CA8BA5E1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940E-41A3-9BD0-604611080B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3A1301A-599C-4D54-94CB-474F4C4D38A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940E-41A3-9BD0-604611080B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940E-41A3-9BD0-604611080B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9B9EAC5-DFC0-400F-8D6B-C7F555E638DC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940E-41A3-9BD0-604611080B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1FAF988-A851-44A6-93A2-2E28C05D53A3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940E-41A3-9BD0-604611080B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940E-41A3-9BD0-604611080B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D17531-0E77-4559-B324-377DF05FF1E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940E-41A3-9BD0-604611080B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59ED2F1-C629-400E-A39E-E826C0A7F4C2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940E-41A3-9BD0-604611080B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6C3C071-CE8B-4D23-B64C-547EBE7523D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940E-41A3-9BD0-604611080B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6C4BCC-C8A1-4110-8DF1-87E1F469F58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940E-41A3-9BD0-604611080B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36FF040-5C83-442A-9618-8C361BEB58D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940E-41A3-9BD0-604611080B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940E-41A3-9BD0-604611080B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940E-41A3-9BD0-604611080B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940E-41A3-9BD0-604611080B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940E-41A3-9BD0-604611080B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940E-41A3-9BD0-604611080B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940E-41A3-9BD0-604611080B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940E-41A3-9BD0-604611080B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940E-41A3-9BD0-604611080B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940E-41A3-9BD0-604611080B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940E-41A3-9BD0-604611080B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940E-41A3-9BD0-604611080B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940E-41A3-9BD0-604611080B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940E-41A3-9BD0-604611080B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940E-41A3-9BD0-604611080B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940E-41A3-9BD0-604611080B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940E-41A3-9BD0-604611080B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940E-41A3-9BD0-604611080B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940E-41A3-9BD0-604611080B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940E-41A3-9BD0-604611080B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940E-41A3-9BD0-604611080B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940E-41A3-9BD0-604611080B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940E-41A3-9BD0-604611080B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940E-41A3-9BD0-604611080B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940E-41A3-9BD0-604611080B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940E-41A3-9BD0-604611080B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940E-41A3-9BD0-604611080B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940E-41A3-9BD0-604611080B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940E-41A3-9BD0-604611080B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940E-41A3-9BD0-604611080B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940E-41A3-9BD0-604611080B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940E-41A3-9BD0-604611080B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940E-41A3-9BD0-604611080B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940E-41A3-9BD0-604611080B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940E-41A3-9BD0-604611080B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940E-41A3-9BD0-604611080B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940E-41A3-9BD0-604611080B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940E-41A3-9BD0-604611080B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940E-41A3-9BD0-604611080B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940E-41A3-9BD0-604611080B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940E-41A3-9BD0-604611080B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940E-41A3-9BD0-604611080B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940E-41A3-9BD0-604611080B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940E-41A3-9BD0-604611080B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940E-41A3-9BD0-604611080B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940E-41A3-9BD0-604611080B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940E-41A3-9BD0-604611080B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940E-41A3-9BD0-604611080B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940E-41A3-9BD0-604611080B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940E-41A3-9BD0-604611080B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940E-41A3-9BD0-604611080B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940E-41A3-9BD0-604611080B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940E-41A3-9BD0-604611080B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940E-41A3-9BD0-604611080B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940E-41A3-9BD0-604611080B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940E-41A3-9BD0-604611080B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940E-41A3-9BD0-604611080B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940E-41A3-9BD0-604611080B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940E-41A3-9BD0-604611080B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940E-41A3-9BD0-604611080B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940E-41A3-9BD0-604611080B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940E-41A3-9BD0-604611080B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940E-41A3-9BD0-604611080B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940E-41A3-9BD0-604611080B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940E-41A3-9BD0-604611080B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940E-41A3-9BD0-604611080B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940E-41A3-9BD0-604611080B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940E-41A3-9BD0-604611080B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940E-41A3-9BD0-604611080B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940E-41A3-9BD0-604611080B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940E-41A3-9BD0-604611080B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940E-41A3-9BD0-604611080B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940E-41A3-9BD0-604611080B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940E-41A3-9BD0-604611080B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940E-41A3-9BD0-604611080B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940E-41A3-9BD0-604611080B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940E-41A3-9BD0-604611080B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940E-41A3-9BD0-604611080B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940E-41A3-9BD0-604611080B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940E-41A3-9BD0-604611080B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940E-41A3-9BD0-604611080B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940E-41A3-9BD0-604611080B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940E-41A3-9BD0-604611080B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940E-41A3-9BD0-604611080B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940E-41A3-9BD0-604611080B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940E-41A3-9BD0-604611080B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940E-41A3-9BD0-604611080B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940E-41A3-9BD0-604611080B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940E-41A3-9BD0-604611080B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940E-41A3-9BD0-604611080B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940E-41A3-9BD0-604611080B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940E-41A3-9BD0-604611080B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940E-41A3-9BD0-604611080B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940E-41A3-9BD0-604611080B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940E-41A3-9BD0-604611080B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940E-41A3-9BD0-604611080B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940E-41A3-9BD0-604611080B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940E-41A3-9BD0-604611080B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940E-41A3-9BD0-604611080B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940E-41A3-9BD0-604611080B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940E-41A3-9BD0-604611080B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940E-41A3-9BD0-604611080B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940E-41A3-9BD0-604611080B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940E-41A3-9BD0-604611080B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940E-41A3-9BD0-604611080B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940E-41A3-9BD0-604611080B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940E-41A3-9BD0-604611080B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940E-41A3-9BD0-604611080B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940E-41A3-9BD0-604611080B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940E-41A3-9BD0-604611080B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940E-41A3-9BD0-604611080B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940E-41A3-9BD0-604611080B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940E-41A3-9BD0-604611080B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940E-41A3-9BD0-604611080B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940E-41A3-9BD0-604611080B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940E-41A3-9BD0-604611080B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940E-41A3-9BD0-604611080B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940E-41A3-9BD0-604611080B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940E-41A3-9BD0-604611080B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940E-41A3-9BD0-604611080B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940E-41A3-9BD0-604611080B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940E-41A3-9BD0-604611080B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940E-41A3-9BD0-604611080B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940E-41A3-9BD0-604611080B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940E-41A3-9BD0-604611080B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940E-41A3-9BD0-604611080B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940E-41A3-9BD0-604611080B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940E-41A3-9BD0-604611080B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940E-41A3-9BD0-604611080B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940E-41A3-9BD0-604611080B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940E-41A3-9BD0-604611080B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940E-41A3-9BD0-604611080B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940E-41A3-9BD0-604611080B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940E-41A3-9BD0-604611080B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940E-41A3-9BD0-604611080B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940E-41A3-9BD0-604611080B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940E-41A3-9BD0-604611080B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940E-41A3-9BD0-604611080B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940E-41A3-9BD0-604611080B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940E-41A3-9BD0-604611080B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940E-41A3-9BD0-604611080B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940E-41A3-9BD0-604611080B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940E-41A3-9BD0-604611080B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940E-41A3-9BD0-604611080B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940E-41A3-9BD0-604611080B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940E-41A3-9BD0-604611080B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940E-41A3-9BD0-604611080B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940E-41A3-9BD0-604611080B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940E-41A3-9BD0-604611080B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940E-41A3-9BD0-604611080B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940E-41A3-9BD0-604611080B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940E-41A3-9BD0-604611080B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940E-41A3-9BD0-604611080B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940E-41A3-9BD0-604611080B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940E-41A3-9BD0-604611080B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940E-41A3-9BD0-604611080B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940E-41A3-9BD0-604611080B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940E-41A3-9BD0-604611080B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1-940E-41A3-9BD0-604611080B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2-940E-41A3-9BD0-604611080B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940E-41A3-9BD0-604611080B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940E-41A3-9BD0-604611080B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940E-41A3-9BD0-604611080B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940E-41A3-9BD0-604611080B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940E-41A3-9BD0-604611080B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07-4AC6-B8EC-3E894AE8E3F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07-4AC6-B8EC-3E894AE8E3F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07-4AC6-B8EC-3E894AE8E3F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07-4AC6-B8EC-3E894AE8E3F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07-4AC6-B8EC-3E894AE8E3F8}"/>
                </c:ext>
              </c:extLst>
            </c:dLbl>
            <c:spPr>
              <a:gradFill>
                <a:gsLst>
                  <a:gs pos="0">
                    <a:srgbClr val="4F81BD">
                      <a:lumMod val="5000"/>
                      <a:lumOff val="95000"/>
                      <a:alpha val="30000"/>
                    </a:srgbClr>
                  </a:gs>
                  <a:gs pos="97000">
                    <a:srgbClr val="00B0F0"/>
                  </a:gs>
                  <a:gs pos="50000">
                    <a:srgbClr val="ECF1F8"/>
                  </a:gs>
                </a:gsLst>
                <a:lin ang="5400000" scaled="1"/>
              </a:gradFill>
              <a:ln w="6350">
                <a:solidFill>
                  <a:srgbClr val="00B0F0"/>
                </a:solidFill>
              </a:ln>
              <a:effectLst/>
            </c:spPr>
            <c:txPr>
              <a:bodyPr rot="0" vertOverflow="overflow" horzOverflow="overflow" vert="horz" wrap="square" lIns="36000" tIns="36000" rIns="36000" bIns="36000" anchor="ctr" anchorCtr="0">
                <a:spAutoFit/>
              </a:bodyPr>
              <a:lstStyle/>
              <a:p>
                <a:pPr>
                  <a:defRPr sz="7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Spots!$B$3:$B$205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6">
                  <c:v>2</c:v>
                </c:pt>
                <c:pt idx="27">
                  <c:v>2</c:v>
                </c:pt>
                <c:pt idx="29">
                  <c:v>-10</c:v>
                </c:pt>
                <c:pt idx="30">
                  <c:v>10</c:v>
                </c:pt>
                <c:pt idx="31">
                  <c:v>10</c:v>
                </c:pt>
                <c:pt idx="32">
                  <c:v>-10</c:v>
                </c:pt>
                <c:pt idx="33">
                  <c:v>-9</c:v>
                </c:pt>
              </c:numCache>
            </c:numRef>
          </c:xVal>
          <c:yVal>
            <c:numRef>
              <c:f>Spots!$C$3:$C$205</c:f>
              <c:numCache>
                <c:formatCode>General</c:formatCode>
                <c:ptCount val="2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2">
                  <c:v>-1</c:v>
                </c:pt>
                <c:pt idx="13">
                  <c:v>-2</c:v>
                </c:pt>
                <c:pt idx="14">
                  <c:v>-3</c:v>
                </c:pt>
                <c:pt idx="15">
                  <c:v>-4</c:v>
                </c:pt>
                <c:pt idx="16">
                  <c:v>-5</c:v>
                </c:pt>
                <c:pt idx="17">
                  <c:v>-6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6">
                  <c:v>8</c:v>
                </c:pt>
                <c:pt idx="27">
                  <c:v>-8</c:v>
                </c:pt>
                <c:pt idx="29">
                  <c:v>-10</c:v>
                </c:pt>
                <c:pt idx="30">
                  <c:v>-10</c:v>
                </c:pt>
                <c:pt idx="31">
                  <c:v>10</c:v>
                </c:pt>
                <c:pt idx="32">
                  <c:v>10</c:v>
                </c:pt>
                <c:pt idx="33">
                  <c:v>-10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Spots!$A$3:$A$127</c15:f>
                <c15:dlblRangeCache>
                  <c:ptCount val="125"/>
                  <c:pt idx="0">
                    <c:v>Intro</c:v>
                  </c:pt>
                  <c:pt idx="1">
                    <c:v>Features</c:v>
                  </c:pt>
                  <c:pt idx="2">
                    <c:v>Applications</c:v>
                  </c:pt>
                  <c:pt idx="3">
                    <c:v>Benefits</c:v>
                  </c:pt>
                  <c:pt idx="5">
                    <c:v>Feature1</c:v>
                  </c:pt>
                  <c:pt idx="6">
                    <c:v>Feature2</c:v>
                  </c:pt>
                  <c:pt idx="7">
                    <c:v>Feature3</c:v>
                  </c:pt>
                  <c:pt idx="8">
                    <c:v>Feature4</c:v>
                  </c:pt>
                  <c:pt idx="9">
                    <c:v>Feature5</c:v>
                  </c:pt>
                  <c:pt idx="10">
                    <c:v>Feature6</c:v>
                  </c:pt>
                  <c:pt idx="12">
                    <c:v>Application1</c:v>
                  </c:pt>
                  <c:pt idx="13">
                    <c:v>Application2</c:v>
                  </c:pt>
                  <c:pt idx="14">
                    <c:v>Application3</c:v>
                  </c:pt>
                  <c:pt idx="15">
                    <c:v>Application4</c:v>
                  </c:pt>
                  <c:pt idx="16">
                    <c:v>Application5</c:v>
                  </c:pt>
                  <c:pt idx="17">
                    <c:v>Application6</c:v>
                  </c:pt>
                  <c:pt idx="19">
                    <c:v>Benefit1</c:v>
                  </c:pt>
                  <c:pt idx="20">
                    <c:v>Benefit2</c:v>
                  </c:pt>
                  <c:pt idx="21">
                    <c:v>Benefit3</c:v>
                  </c:pt>
                  <c:pt idx="22">
                    <c:v>Benefit4</c:v>
                  </c:pt>
                  <c:pt idx="23">
                    <c:v>Benefit5</c:v>
                  </c:pt>
                  <c:pt idx="24">
                    <c:v>Benefit6</c:v>
                  </c:pt>
                  <c:pt idx="26">
                    <c:v>Teleport1</c:v>
                  </c:pt>
                  <c:pt idx="27">
                    <c:v>Teleport2</c:v>
                  </c:pt>
                  <c:pt idx="29">
                    <c:v>Blank_1</c:v>
                  </c:pt>
                  <c:pt idx="30">
                    <c:v>Blank_2</c:v>
                  </c:pt>
                  <c:pt idx="31">
                    <c:v>Blank_3</c:v>
                  </c:pt>
                  <c:pt idx="32">
                    <c:v>Blank_4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288-940E-41A3-9BD0-604611080B4B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199414528"/>
        <c:axId val="199416448"/>
      </c:scatterChart>
      <c:valAx>
        <c:axId val="199414528"/>
        <c:scaling>
          <c:orientation val="minMax"/>
          <c:max val="10"/>
          <c:min val="-10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199416448"/>
        <c:crossesAt val="0"/>
        <c:crossBetween val="midCat"/>
        <c:majorUnit val="10"/>
      </c:valAx>
      <c:valAx>
        <c:axId val="199416448"/>
        <c:scaling>
          <c:orientation val="minMax"/>
          <c:max val="10"/>
          <c:min val="-10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199414528"/>
        <c:crosses val="autoZero"/>
        <c:crossBetween val="midCat"/>
        <c:majorUnit val="10"/>
      </c:valAx>
      <c:spPr>
        <a:ln w="9525">
          <a:solidFill>
            <a:srgbClr val="00B0F0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85</xdr:row>
      <xdr:rowOff>0</xdr:rowOff>
    </xdr:from>
    <xdr:to>
      <xdr:col>19</xdr:col>
      <xdr:colOff>174539</xdr:colOff>
      <xdr:row>134</xdr:row>
      <xdr:rowOff>44694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203200</xdr:colOff>
      <xdr:row>22</xdr:row>
      <xdr:rowOff>36830</xdr:rowOff>
    </xdr:from>
    <xdr:to>
      <xdr:col>21</xdr:col>
      <xdr:colOff>381000</xdr:colOff>
      <xdr:row>75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271903</xdr:colOff>
      <xdr:row>20</xdr:row>
      <xdr:rowOff>227220</xdr:rowOff>
    </xdr:from>
    <xdr:to>
      <xdr:col>11</xdr:col>
      <xdr:colOff>274365</xdr:colOff>
      <xdr:row>21</xdr:row>
      <xdr:rowOff>167683</xdr:rowOff>
    </xdr:to>
    <xdr:sp macro="" textlink="">
      <xdr:nvSpPr>
        <xdr:cNvPr id="4" name="Arrow: Chevro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 rot="16200000" flipH="1">
          <a:off x="5471802" y="4838071"/>
          <a:ext cx="169063" cy="535862"/>
        </a:xfrm>
        <a:prstGeom prst="chevron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381001</xdr:colOff>
      <xdr:row>38</xdr:row>
      <xdr:rowOff>127002</xdr:rowOff>
    </xdr:from>
    <xdr:to>
      <xdr:col>3</xdr:col>
      <xdr:colOff>262467</xdr:colOff>
      <xdr:row>43</xdr:row>
      <xdr:rowOff>169336</xdr:rowOff>
    </xdr:to>
    <xdr:sp macro="" textlink="">
      <xdr:nvSpPr>
        <xdr:cNvPr id="4" name="Arrow: Up-Dow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591734" y="6324602"/>
          <a:ext cx="270933" cy="973667"/>
        </a:xfrm>
        <a:prstGeom prst="upDownArrow">
          <a:avLst>
            <a:gd name="adj1" fmla="val 32418"/>
            <a:gd name="adj2" fmla="val 60909"/>
          </a:avLst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186267</xdr:colOff>
      <xdr:row>39</xdr:row>
      <xdr:rowOff>67733</xdr:rowOff>
    </xdr:from>
    <xdr:to>
      <xdr:col>0</xdr:col>
      <xdr:colOff>423334</xdr:colOff>
      <xdr:row>44</xdr:row>
      <xdr:rowOff>110067</xdr:rowOff>
    </xdr:to>
    <xdr:sp macro="" textlink="">
      <xdr:nvSpPr>
        <xdr:cNvPr id="7" name="Arrow: Up-Dow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86267" y="6451600"/>
          <a:ext cx="237067" cy="973667"/>
        </a:xfrm>
        <a:prstGeom prst="upDownArrow">
          <a:avLst>
            <a:gd name="adj1" fmla="val 32418"/>
            <a:gd name="adj2" fmla="val 60909"/>
          </a:avLst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50030</xdr:colOff>
      <xdr:row>11</xdr:row>
      <xdr:rowOff>148553</xdr:rowOff>
    </xdr:from>
    <xdr:to>
      <xdr:col>11</xdr:col>
      <xdr:colOff>217823</xdr:colOff>
      <xdr:row>15</xdr:row>
      <xdr:rowOff>55418</xdr:rowOff>
    </xdr:to>
    <xdr:sp macro="" textlink="">
      <xdr:nvSpPr>
        <xdr:cNvPr id="13" name="Arrow: Chevron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 flipH="1">
          <a:off x="15560194" y="2441480"/>
          <a:ext cx="167793" cy="627302"/>
        </a:xfrm>
        <a:prstGeom prst="chevron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770467</xdr:colOff>
      <xdr:row>40</xdr:row>
      <xdr:rowOff>16934</xdr:rowOff>
    </xdr:from>
    <xdr:to>
      <xdr:col>2</xdr:col>
      <xdr:colOff>119000</xdr:colOff>
      <xdr:row>42</xdr:row>
      <xdr:rowOff>3190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39" t="18416" r="5816" b="18996"/>
        <a:stretch/>
      </xdr:blipFill>
      <xdr:spPr bwMode="auto">
        <a:xfrm>
          <a:off x="770467" y="6587067"/>
          <a:ext cx="559266" cy="3542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320040</xdr:colOff>
          <xdr:row>2</xdr:row>
          <xdr:rowOff>60960</xdr:rowOff>
        </xdr:from>
        <xdr:to>
          <xdr:col>18</xdr:col>
          <xdr:colOff>617220</xdr:colOff>
          <xdr:row>12</xdr:row>
          <xdr:rowOff>7620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127000</xdr:colOff>
      <xdr:row>0</xdr:row>
      <xdr:rowOff>95250</xdr:rowOff>
    </xdr:from>
    <xdr:to>
      <xdr:col>24</xdr:col>
      <xdr:colOff>313074</xdr:colOff>
      <xdr:row>49</xdr:row>
      <xdr:rowOff>52267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64</xdr:row>
      <xdr:rowOff>0</xdr:rowOff>
    </xdr:from>
    <xdr:to>
      <xdr:col>26</xdr:col>
      <xdr:colOff>341680</xdr:colOff>
      <xdr:row>112</xdr:row>
      <xdr:rowOff>154176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604646</xdr:colOff>
      <xdr:row>42</xdr:row>
      <xdr:rowOff>153848</xdr:rowOff>
    </xdr:from>
    <xdr:to>
      <xdr:col>1</xdr:col>
      <xdr:colOff>105114</xdr:colOff>
      <xdr:row>48</xdr:row>
      <xdr:rowOff>10329</xdr:rowOff>
    </xdr:to>
    <xdr:sp macro="" textlink="">
      <xdr:nvSpPr>
        <xdr:cNvPr id="2" name="Arrow: Up-Dow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04646" y="7030433"/>
          <a:ext cx="336809" cy="971603"/>
        </a:xfrm>
        <a:prstGeom prst="upDownArrow">
          <a:avLst>
            <a:gd name="adj1" fmla="val 32418"/>
            <a:gd name="adj2" fmla="val 60909"/>
          </a:avLst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177595</xdr:colOff>
      <xdr:row>43</xdr:row>
      <xdr:rowOff>80333</xdr:rowOff>
    </xdr:from>
    <xdr:to>
      <xdr:col>6</xdr:col>
      <xdr:colOff>245329</xdr:colOff>
      <xdr:row>48</xdr:row>
      <xdr:rowOff>122668</xdr:rowOff>
    </xdr:to>
    <xdr:sp macro="" textlink="">
      <xdr:nvSpPr>
        <xdr:cNvPr id="6" name="Arrow: Up-Down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3123375" y="7142772"/>
          <a:ext cx="337222" cy="971603"/>
        </a:xfrm>
        <a:prstGeom prst="upDownArrow">
          <a:avLst>
            <a:gd name="adj1" fmla="val 32418"/>
            <a:gd name="adj2" fmla="val 60909"/>
          </a:avLst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4</xdr:col>
      <xdr:colOff>56098</xdr:colOff>
      <xdr:row>43</xdr:row>
      <xdr:rowOff>145700</xdr:rowOff>
    </xdr:from>
    <xdr:to>
      <xdr:col>4</xdr:col>
      <xdr:colOff>615364</xdr:colOff>
      <xdr:row>45</xdr:row>
      <xdr:rowOff>128225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39" t="18416" r="5816" b="18996"/>
        <a:stretch/>
      </xdr:blipFill>
      <xdr:spPr bwMode="auto">
        <a:xfrm>
          <a:off x="2286342" y="7208139"/>
          <a:ext cx="559266" cy="3542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1530353</xdr:colOff>
      <xdr:row>16</xdr:row>
      <xdr:rowOff>93135</xdr:rowOff>
    </xdr:from>
    <xdr:to>
      <xdr:col>9</xdr:col>
      <xdr:colOff>120652</xdr:colOff>
      <xdr:row>20</xdr:row>
      <xdr:rowOff>1</xdr:rowOff>
    </xdr:to>
    <xdr:sp macro="" textlink="">
      <xdr:nvSpPr>
        <xdr:cNvPr id="18" name="Arrow: Chevron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5562603" y="3039535"/>
          <a:ext cx="165099" cy="643466"/>
        </a:xfrm>
        <a:prstGeom prst="chevron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154024</xdr:colOff>
      <xdr:row>0</xdr:row>
      <xdr:rowOff>99205</xdr:rowOff>
    </xdr:from>
    <xdr:to>
      <xdr:col>19</xdr:col>
      <xdr:colOff>575666</xdr:colOff>
      <xdr:row>48</xdr:row>
      <xdr:rowOff>12881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301</xdr:row>
      <xdr:rowOff>0</xdr:rowOff>
    </xdr:from>
    <xdr:to>
      <xdr:col>3</xdr:col>
      <xdr:colOff>259403</xdr:colOff>
      <xdr:row>305</xdr:row>
      <xdr:rowOff>24319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0" y="56161021"/>
          <a:ext cx="3112850" cy="778213"/>
          <a:chOff x="8107" y="56671723"/>
          <a:chExt cx="3112850" cy="834958"/>
        </a:xfrm>
      </xdr:grpSpPr>
      <xdr:sp macro="" textlink="">
        <xdr:nvSpPr>
          <xdr:cNvPr id="6" name="Arrow: Up-Down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810639" y="56679350"/>
            <a:ext cx="218873" cy="576454"/>
          </a:xfrm>
          <a:prstGeom prst="upDownArrow">
            <a:avLst>
              <a:gd name="adj1" fmla="val 18057"/>
              <a:gd name="adj2" fmla="val 58515"/>
            </a:avLst>
          </a:prstGeom>
          <a:ln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8" name="Arrow: Up-Down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2485418" y="56692801"/>
            <a:ext cx="218873" cy="576454"/>
          </a:xfrm>
          <a:prstGeom prst="upDownArrow">
            <a:avLst>
              <a:gd name="adj1" fmla="val 18057"/>
              <a:gd name="adj2" fmla="val 58515"/>
            </a:avLst>
          </a:prstGeom>
          <a:ln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8107" y="56671723"/>
            <a:ext cx="2861554" cy="611752"/>
          </a:xfrm>
          <a:prstGeom prst="rect">
            <a:avLst/>
          </a:prstGeom>
          <a:solidFill>
            <a:srgbClr val="FFFF99">
              <a:alpha val="18824"/>
            </a:srgb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IN" sz="1100">
              <a:solidFill>
                <a:schemeClr val="tx1"/>
              </a:solidFill>
            </a:endParaRPr>
          </a:p>
        </xdr:txBody>
      </xdr:sp>
      <xdr:sp macro="" textlink="">
        <xdr:nvSpPr>
          <xdr:cNvPr id="10" name="Plus Sign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2707532" y="57158106"/>
            <a:ext cx="413425" cy="348575"/>
          </a:xfrm>
          <a:prstGeom prst="mathPlus">
            <a:avLst>
              <a:gd name="adj1" fmla="val 7146"/>
            </a:avLst>
          </a:prstGeom>
          <a:solidFill>
            <a:srgbClr val="FF0066"/>
          </a:solidFill>
          <a:ln>
            <a:solidFill>
              <a:srgbClr val="FF006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>
    <xdr:from>
      <xdr:col>2</xdr:col>
      <xdr:colOff>254360</xdr:colOff>
      <xdr:row>136</xdr:row>
      <xdr:rowOff>105384</xdr:rowOff>
    </xdr:from>
    <xdr:to>
      <xdr:col>2</xdr:col>
      <xdr:colOff>525293</xdr:colOff>
      <xdr:row>141</xdr:row>
      <xdr:rowOff>146816</xdr:rowOff>
    </xdr:to>
    <xdr:sp macro="" textlink="">
      <xdr:nvSpPr>
        <xdr:cNvPr id="17" name="Arrow: Up-Down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1778360" y="25494575"/>
          <a:ext cx="270933" cy="973667"/>
        </a:xfrm>
        <a:prstGeom prst="upDownArrow">
          <a:avLst>
            <a:gd name="adj1" fmla="val 32418"/>
            <a:gd name="adj2" fmla="val 60909"/>
          </a:avLst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372893</xdr:colOff>
      <xdr:row>136</xdr:row>
      <xdr:rowOff>126999</xdr:rowOff>
    </xdr:from>
    <xdr:to>
      <xdr:col>0</xdr:col>
      <xdr:colOff>609960</xdr:colOff>
      <xdr:row>141</xdr:row>
      <xdr:rowOff>168431</xdr:rowOff>
    </xdr:to>
    <xdr:sp macro="" textlink="">
      <xdr:nvSpPr>
        <xdr:cNvPr id="18" name="Arrow: Up-Down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72893" y="25516190"/>
          <a:ext cx="237067" cy="973667"/>
        </a:xfrm>
        <a:prstGeom prst="upDownArrow">
          <a:avLst>
            <a:gd name="adj1" fmla="val 32418"/>
            <a:gd name="adj2" fmla="val 60909"/>
          </a:avLst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745787</xdr:colOff>
      <xdr:row>134</xdr:row>
      <xdr:rowOff>97277</xdr:rowOff>
    </xdr:from>
    <xdr:to>
      <xdr:col>2</xdr:col>
      <xdr:colOff>88846</xdr:colOff>
      <xdr:row>137</xdr:row>
      <xdr:rowOff>112517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787" y="25113575"/>
          <a:ext cx="867059" cy="574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27</xdr:row>
      <xdr:rowOff>186448</xdr:rowOff>
    </xdr:from>
    <xdr:to>
      <xdr:col>3</xdr:col>
      <xdr:colOff>259403</xdr:colOff>
      <xdr:row>31</xdr:row>
      <xdr:rowOff>178341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pSpPr/>
      </xdr:nvGrpSpPr>
      <xdr:grpSpPr>
        <a:xfrm>
          <a:off x="0" y="5220512"/>
          <a:ext cx="3112850" cy="753893"/>
          <a:chOff x="8107" y="56671723"/>
          <a:chExt cx="3112850" cy="834958"/>
        </a:xfrm>
        <a:noFill/>
      </xdr:grpSpPr>
      <xdr:sp macro="" textlink="">
        <xdr:nvSpPr>
          <xdr:cNvPr id="13" name="Arrow: Up-Down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/>
        </xdr:nvSpPr>
        <xdr:spPr>
          <a:xfrm>
            <a:off x="802533" y="56704151"/>
            <a:ext cx="218873" cy="576454"/>
          </a:xfrm>
          <a:prstGeom prst="upDownArrow">
            <a:avLst>
              <a:gd name="adj1" fmla="val 18057"/>
              <a:gd name="adj2" fmla="val 58515"/>
            </a:avLst>
          </a:prstGeom>
          <a:solidFill>
            <a:srgbClr val="BDEEFF"/>
          </a:solidFill>
          <a:ln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4" name="Arrow: Up-Down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/>
        </xdr:nvSpPr>
        <xdr:spPr>
          <a:xfrm>
            <a:off x="1415375" y="56692801"/>
            <a:ext cx="218873" cy="576454"/>
          </a:xfrm>
          <a:prstGeom prst="upDownArrow">
            <a:avLst>
              <a:gd name="adj1" fmla="val 18057"/>
              <a:gd name="adj2" fmla="val 58515"/>
            </a:avLst>
          </a:prstGeom>
          <a:solidFill>
            <a:srgbClr val="BDEEFF"/>
          </a:solidFill>
          <a:ln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/>
        </xdr:nvSpPr>
        <xdr:spPr>
          <a:xfrm>
            <a:off x="8107" y="56671723"/>
            <a:ext cx="2861554" cy="624192"/>
          </a:xfrm>
          <a:prstGeom prst="rect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IN" sz="1100">
              <a:solidFill>
                <a:schemeClr val="tx1"/>
              </a:solidFill>
            </a:endParaRPr>
          </a:p>
        </xdr:txBody>
      </xdr:sp>
      <xdr:sp macro="" textlink="">
        <xdr:nvSpPr>
          <xdr:cNvPr id="16" name="Plus Sign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SpPr/>
        </xdr:nvSpPr>
        <xdr:spPr>
          <a:xfrm>
            <a:off x="2707532" y="57158106"/>
            <a:ext cx="413425" cy="348575"/>
          </a:xfrm>
          <a:prstGeom prst="mathPlus">
            <a:avLst>
              <a:gd name="adj1" fmla="val 7146"/>
            </a:avLst>
          </a:prstGeom>
          <a:grpFill/>
          <a:ln>
            <a:solidFill>
              <a:srgbClr val="FF006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3F31D7-41DC-463F-86DF-08E059649888}" name="Table1" displayName="Table1" ref="A1:D2" totalsRowShown="0" headerRowDxfId="60" tableBorderDxfId="59">
  <autoFilter ref="A1:D2" xr:uid="{123F31D7-41DC-463F-86DF-08E059649888}"/>
  <tableColumns count="4">
    <tableColumn id="1" xr3:uid="{A313AD40-1DE7-452C-9F05-74D916A86CF2}" name="Login" dataDxfId="58" dataCellStyle="Hyperlink"/>
    <tableColumn id="2" xr3:uid="{0A561827-EF61-4D30-BE35-ED8D4D7ABEA2}" name="World" dataDxfId="57" dataCellStyle="Hyperlink"/>
    <tableColumn id="3" xr3:uid="{D5F9332C-E4F2-472E-9B42-525DB3912431}" name="Room" dataDxfId="56" dataCellStyle="Hyperlink"/>
    <tableColumn id="4" xr3:uid="{01C72CB9-2245-45DC-B8FD-5D0AC9560F99}" name="Download Video Tutorials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A87091-322F-4C50-8CF7-426C1E681348}" name="Table2" displayName="Table2" ref="A1:E2" totalsRowShown="0" headerRowBorderDxfId="55" tableBorderDxfId="54" totalsRowBorderDxfId="53">
  <autoFilter ref="A1:E2" xr:uid="{4CA87091-322F-4C50-8CF7-426C1E681348}"/>
  <tableColumns count="5">
    <tableColumn id="1" xr3:uid="{FA783C01-0281-4809-9755-FB55875448AA}" name="Status" dataDxfId="52"/>
    <tableColumn id="2" xr3:uid="{8DBC48AB-7A95-4C4B-9CEC-C9CD35DB1ADE}" name="File Name" dataDxfId="51" dataCellStyle="Normal 2"/>
    <tableColumn id="3" xr3:uid="{DBB36497-FE8D-4C8D-B10D-2EADFB29BE6E}" name="Version" dataDxfId="50" dataCellStyle="Normal 2"/>
    <tableColumn id="4" xr3:uid="{3E6949D5-8BBE-49E2-A3B0-9FE8ADE08F93}" name="Syntax" dataDxfId="49" dataCellStyle="Normal 2"/>
    <tableColumn id="5" xr3:uid="{2DD754C8-7EBF-48B5-B157-68ADE676CAFD}" name="Sheet version number" dataDxfId="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AC0883-95A7-4694-AFAE-29E4E5BDD4F2}" name="Table3" displayName="Table3" ref="A1:D2" totalsRowShown="0" headerRowDxfId="47" dataDxfId="45" headerRowBorderDxfId="46" tableBorderDxfId="44">
  <autoFilter ref="A1:D2" xr:uid="{0BAC0883-95A7-4694-AFAE-29E4E5BDD4F2}"/>
  <tableColumns count="4">
    <tableColumn id="1" xr3:uid="{875069F2-D9C7-4671-BAE3-8C6D0904FE2B}" name="Xmin" dataDxfId="43"/>
    <tableColumn id="2" xr3:uid="{7EBF3478-D894-4648-ACBA-623FBEE79AA1}" name="Ymin" dataDxfId="42"/>
    <tableColumn id="3" xr3:uid="{E6E830D4-45E1-435B-B6BF-9DCDE18924EB}" name="Xmax" dataDxfId="41"/>
    <tableColumn id="4" xr3:uid="{96202D10-064D-4578-91DD-9B9614DCD6EB}" name="Ymax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656BB55-FB26-4AA2-84E1-A0F149336C24}" name="Table4" displayName="Table4" ref="A1:J35" totalsRowShown="0" headerRowDxfId="31" dataDxfId="30" tableBorderDxfId="29" dataCellStyle="Normal 2">
  <autoFilter ref="A1:J35" xr:uid="{E656BB55-FB26-4AA2-84E1-A0F149336C24}"/>
  <tableColumns count="10">
    <tableColumn id="1" xr3:uid="{EA76C035-73B1-4EE5-AC1A-27969A5C4067}" name="Name" dataDxfId="28" dataCellStyle="Normal 2"/>
    <tableColumn id="2" xr3:uid="{33F87AA1-C33F-422F-AE52-1A01FED939DB}" name="X" dataDxfId="27" dataCellStyle="Normal 2">
      <calculatedColumnFormula array="1">IF(INDEX(Paths!$AB$1:$AB$441,  MATCH(INDEX($A:$A,ROW()),  Paths!$Z$1:$Z$441,0),1)="",0,INDEX(Paths!$AB$1:$AB$441,  MATCH(INDEX($A:$A,ROW()),  Paths!$Z$1:$Z$441,0),1))</calculatedColumnFormula>
    </tableColumn>
    <tableColumn id="3" xr3:uid="{ED423705-73D6-47B5-88F1-C2E005C13010}" name="Y" dataDxfId="26" dataCellStyle="Normal 2">
      <calculatedColumnFormula array="1">IF(INDEX(Paths!$AA$1:$AA$441,   MATCH(INDEX($A:$A,ROW()),  Paths!$Z$1:$Z$441,  0),  1)="",0,INDEX(Paths!$AA$1:$AA$441,   MATCH(INDEX($A:$A,ROW()),  Paths!$Z$1:$Z$441,  0),  1))</calculatedColumnFormula>
    </tableColumn>
    <tableColumn id="4" xr3:uid="{A565CDDB-F7CF-41AE-A8E8-330A716C3150}" name="Location" dataDxfId="25" dataCellStyle="Normal 2">
      <calculatedColumnFormula array="1">"["&amp;IF(INDEX($B:$B,ROW())="",0,INDEX($B:$B,ROW()))&amp;","&amp;IF(INDEX($C:$C,ROW())="",0,INDEX($C:$C,ROW()))&amp;"]"</calculatedColumnFormula>
    </tableColumn>
    <tableColumn id="5" xr3:uid="{E133CC32-D124-458B-BBBF-D0F6182EB183}" name="Text" dataDxfId="24" dataCellStyle="Normal 2"/>
    <tableColumn id="6" xr3:uid="{65B7979D-E082-412A-9CFD-B22314D76B49}" name="Forum" dataDxfId="23" dataCellStyle="Normal 2"/>
    <tableColumn id="7" xr3:uid="{83FEF04F-B5FC-4A77-9AD8-DB91F7EF09CE}" name="Image" dataDxfId="22" dataCellStyle="Normal 2"/>
    <tableColumn id="8" xr3:uid="{685B78E2-F36F-4918-83C5-FC80AF035F1F}" name="Teleport" dataDxfId="21" dataCellStyle="Normal 2"/>
    <tableColumn id="9" xr3:uid="{5E3D536D-4334-41A1-9FE8-B5141FBB63EB}" name="Room" dataDxfId="20" dataCellStyle="Normal 2"/>
    <tableColumn id="10" xr3:uid="{82561604-6A97-438E-817D-8DD69567760A}" name="Link" dataDxfId="19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8821B18-8E88-4172-B678-D7FDEF4D373A}" name="Table5" displayName="Table5" ref="A1:I36" totalsRowShown="0">
  <autoFilter ref="A1:I36" xr:uid="{A8821B18-8E88-4172-B678-D7FDEF4D373A}"/>
  <tableColumns count="9">
    <tableColumn id="1" xr3:uid="{FA7CFFA1-D4FD-450E-9A71-2FE6D98659EC}" name="Start" dataDxfId="12" dataCellStyle="Normal 2"/>
    <tableColumn id="2" xr3:uid="{556E1327-D2AD-4DFD-A5CA-242CE4EF9FA7}" name="End" dataDxfId="11" dataCellStyle="Normal 2"/>
    <tableColumn id="3" xr3:uid="{C2D7F8C7-AF53-446B-A473-5A8C179C483E}" name="X1" dataDxfId="10">
      <calculatedColumnFormula array="1">IF(INDEX($A:$A,ROW())="",0,INDEX(Spots!$B:$B,MATCH(INDEX($A:$A,ROW()),Spots!$A:$A,0)))</calculatedColumnFormula>
    </tableColumn>
    <tableColumn id="4" xr3:uid="{B60E8F61-6038-4757-A631-61684DF36A87}" name="Y1" dataDxfId="9">
      <calculatedColumnFormula array="1">IF(INDEX($A:$A,ROW())="",0,INDEX(Spots!$C:$C,MATCH(INDEX($A:$A,ROW()),Spots!$A:$A,0)))</calculatedColumnFormula>
    </tableColumn>
    <tableColumn id="5" xr3:uid="{4546E27F-9AFB-48F7-ACC5-98E5712BAA89}" name="P1" dataDxfId="8" dataCellStyle="Normal 2">
      <calculatedColumnFormula array="1">IF(INDEX($A:$A,ROW())="","","["&amp;INDEX(C:C,ROW())&amp;","&amp;INDEX(D:D,ROW())&amp;"]")</calculatedColumnFormula>
    </tableColumn>
    <tableColumn id="6" xr3:uid="{E536727E-3437-4F94-9CC3-C95AE90810A9}" name="X2" dataDxfId="7">
      <calculatedColumnFormula array="1">IF(INDEX($B:$B,ROW())="",0,INDEX(Spots!$B:$B,MATCH(INDEX($B:$B,ROW()),Spots!$A:$A,0)))</calculatedColumnFormula>
    </tableColumn>
    <tableColumn id="7" xr3:uid="{B8B5D3DD-A035-448B-9964-3576FAD34F20}" name="Y2" dataDxfId="6">
      <calculatedColumnFormula array="1">IF(INDEX($B:$B,ROW())="",0,INDEX(Spots!$C:$C,MATCH(INDEX($B:$B,ROW()),Spots!$A:$A,0)))</calculatedColumnFormula>
    </tableColumn>
    <tableColumn id="8" xr3:uid="{C72E5C92-A319-4BAC-B5AA-039DE15061C1}" name="P2" dataDxfId="5" dataCellStyle="Normal 2">
      <calculatedColumnFormula array="1">IF(INDEX($B:$B,ROW())="","","["&amp;INDEX(F:F,ROW())&amp;","&amp;INDEX(G:G,ROW())&amp;"]")</calculatedColumnFormula>
    </tableColumn>
    <tableColumn id="9" xr3:uid="{B67876EC-A231-4A09-83BF-4A20F1B12461}" name="Path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spotmaze.world/spotmaze?room1" TargetMode="External"/><Relationship Id="rId2" Type="http://schemas.openxmlformats.org/officeDocument/2006/relationships/hyperlink" Target="https://spotmaze.world/spotmaze" TargetMode="External"/><Relationship Id="rId1" Type="http://schemas.openxmlformats.org/officeDocument/2006/relationships/hyperlink" Target="https://www.spotmaze.com/" TargetMode="External"/><Relationship Id="rId6" Type="http://schemas.openxmlformats.org/officeDocument/2006/relationships/table" Target="../tables/table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drive.google.com/drive/folders/1uFoeFM3rilbJz49_iyZiGy5QKXaBKMjv?usp=shar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potmaze.com/forum/welcome-to-the-forum/create-rooms" TargetMode="External"/><Relationship Id="rId13" Type="http://schemas.openxmlformats.org/officeDocument/2006/relationships/hyperlink" Target="https://www.spotmaze.com/forum/welcome-to-the-forum/organizing-meetups" TargetMode="External"/><Relationship Id="rId18" Type="http://schemas.openxmlformats.org/officeDocument/2006/relationships/hyperlink" Target="https://www.spotmaze.com/forum/welcome-to-the-forum/spatial-learning" TargetMode="External"/><Relationship Id="rId26" Type="http://schemas.openxmlformats.org/officeDocument/2006/relationships/control" Target="../activeX/activeX1.xml"/><Relationship Id="rId3" Type="http://schemas.openxmlformats.org/officeDocument/2006/relationships/hyperlink" Target="https://www.spotmaze.com/forum/welcome-to-the-forum/applications" TargetMode="External"/><Relationship Id="rId21" Type="http://schemas.openxmlformats.org/officeDocument/2006/relationships/hyperlink" Target="https://www.spotmaze.com/forum/welcome-to-the-forum/better-engagement" TargetMode="External"/><Relationship Id="rId7" Type="http://schemas.openxmlformats.org/officeDocument/2006/relationships/hyperlink" Target="https://www.spotmaze.com/forum/welcome-to-the-forum/connect-forums" TargetMode="External"/><Relationship Id="rId12" Type="http://schemas.openxmlformats.org/officeDocument/2006/relationships/hyperlink" Target="https://www.spotmaze.com/forum/welcome-to-the-forum/tour-creation" TargetMode="External"/><Relationship Id="rId17" Type="http://schemas.openxmlformats.org/officeDocument/2006/relationships/hyperlink" Target="https://www.spotmaze.com/forum/welcome-to-the-forum/community" TargetMode="External"/><Relationship Id="rId25" Type="http://schemas.openxmlformats.org/officeDocument/2006/relationships/vmlDrawing" Target="../drawings/vmlDrawing1.vml"/><Relationship Id="rId2" Type="http://schemas.openxmlformats.org/officeDocument/2006/relationships/hyperlink" Target="https://www.spotmaze.com/forum/welcome-to-the-forum/features" TargetMode="External"/><Relationship Id="rId16" Type="http://schemas.openxmlformats.org/officeDocument/2006/relationships/hyperlink" Target="https://www.spotmaze.com/forum/welcome-to-the-forum/site-maps" TargetMode="External"/><Relationship Id="rId20" Type="http://schemas.openxmlformats.org/officeDocument/2006/relationships/hyperlink" Target="https://www.spotmaze.com/forum/welcome-to-the-forum/better-recollection" TargetMode="External"/><Relationship Id="rId1" Type="http://schemas.openxmlformats.org/officeDocument/2006/relationships/hyperlink" Target="https://www.spotmaze.com/forum/welcome-to-the-forum/what-is-spotmaze" TargetMode="External"/><Relationship Id="rId6" Type="http://schemas.openxmlformats.org/officeDocument/2006/relationships/hyperlink" Target="https://www.spotmaze.com/forum/welcome-to-the-forum/create-locations" TargetMode="External"/><Relationship Id="rId11" Type="http://schemas.openxmlformats.org/officeDocument/2006/relationships/hyperlink" Target="https://www.spotmaze.com/forum/welcome-to-the-forum/building-maps" TargetMode="External"/><Relationship Id="rId24" Type="http://schemas.openxmlformats.org/officeDocument/2006/relationships/drawing" Target="../drawings/drawing2.xml"/><Relationship Id="rId5" Type="http://schemas.openxmlformats.org/officeDocument/2006/relationships/hyperlink" Target="https://www.spotmaze.com/forum/welcome-to-the-forum/build-worlds" TargetMode="External"/><Relationship Id="rId15" Type="http://schemas.openxmlformats.org/officeDocument/2006/relationships/hyperlink" Target="https://www.spotmaze.com/forum/welcome-to-the-forum/finding-content" TargetMode="External"/><Relationship Id="rId23" Type="http://schemas.openxmlformats.org/officeDocument/2006/relationships/printerSettings" Target="../printerSettings/printerSettings5.bin"/><Relationship Id="rId28" Type="http://schemas.openxmlformats.org/officeDocument/2006/relationships/table" Target="../tables/table4.xml"/><Relationship Id="rId10" Type="http://schemas.openxmlformats.org/officeDocument/2006/relationships/hyperlink" Target="https://www.spotmaze.com/forum/welcome-to-the-forum/embed-images" TargetMode="External"/><Relationship Id="rId19" Type="http://schemas.openxmlformats.org/officeDocument/2006/relationships/hyperlink" Target="https://www.spotmaze.com/forum/welcome-to-the-forum/spatial-memory" TargetMode="External"/><Relationship Id="rId4" Type="http://schemas.openxmlformats.org/officeDocument/2006/relationships/hyperlink" Target="https://www.spotmaze.com/forum/welcome-to-the-forum/benefits" TargetMode="External"/><Relationship Id="rId9" Type="http://schemas.openxmlformats.org/officeDocument/2006/relationships/hyperlink" Target="https://www.spotmaze.com/forum/welcome-to-the-forum/write-content" TargetMode="External"/><Relationship Id="rId14" Type="http://schemas.openxmlformats.org/officeDocument/2006/relationships/hyperlink" Target="https://www.spotmaze.com/forum/welcome-to-the-forum/gamification" TargetMode="External"/><Relationship Id="rId22" Type="http://schemas.openxmlformats.org/officeDocument/2006/relationships/hyperlink" Target="https://www.spotmaze.com/forum/welcome-to-the-forum/improved-grasping" TargetMode="External"/><Relationship Id="rId27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hyperlink" Target="https://spotmaze.world/spotmaze" TargetMode="External"/><Relationship Id="rId7" Type="http://schemas.openxmlformats.org/officeDocument/2006/relationships/hyperlink" Target="https://drive.google.com/drive/folders/1uFoeFM3rilbJz49_iyZiGy5QKXaBKMjv?usp=sharing" TargetMode="External"/><Relationship Id="rId2" Type="http://schemas.openxmlformats.org/officeDocument/2006/relationships/hyperlink" Target="https://spotmaze.world/spotmaze?excel_import" TargetMode="External"/><Relationship Id="rId1" Type="http://schemas.openxmlformats.org/officeDocument/2006/relationships/hyperlink" Target="https://docs.google.com/spreadsheets/d/1Q0a8-2sIvj7IQSQ2C1mAVWkEygv6768o" TargetMode="External"/><Relationship Id="rId6" Type="http://schemas.openxmlformats.org/officeDocument/2006/relationships/hyperlink" Target="https://beautifytools.com/excel-to-json-converter.php" TargetMode="External"/><Relationship Id="rId5" Type="http://schemas.openxmlformats.org/officeDocument/2006/relationships/hyperlink" Target="https://github.com/spotmaze/spotmaze" TargetMode="External"/><Relationship Id="rId4" Type="http://schemas.openxmlformats.org/officeDocument/2006/relationships/hyperlink" Target="https://github.com/spotmaze/spotmaze/blob/main/spotmaze.js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"/>
  <sheetViews>
    <sheetView workbookViewId="0">
      <selection activeCell="B7" sqref="B7"/>
    </sheetView>
  </sheetViews>
  <sheetFormatPr defaultRowHeight="14.4" x14ac:dyDescent="0.3"/>
  <cols>
    <col min="1" max="1" width="37.33203125" style="1" customWidth="1"/>
    <col min="2" max="2" width="42" style="1" customWidth="1"/>
    <col min="3" max="3" width="61.88671875" style="1" customWidth="1"/>
    <col min="4" max="4" width="78.21875" customWidth="1"/>
    <col min="5" max="5" width="19.77734375" customWidth="1"/>
  </cols>
  <sheetData>
    <row r="1" spans="1:4" x14ac:dyDescent="0.3">
      <c r="A1" s="154" t="s">
        <v>97</v>
      </c>
      <c r="B1" s="155" t="s">
        <v>79</v>
      </c>
      <c r="C1" s="155" t="s">
        <v>101</v>
      </c>
      <c r="D1" s="156" t="s">
        <v>152</v>
      </c>
    </row>
    <row r="2" spans="1:4" x14ac:dyDescent="0.3">
      <c r="A2" s="153" t="s">
        <v>56</v>
      </c>
      <c r="B2" s="49" t="s">
        <v>57</v>
      </c>
      <c r="C2" s="14" t="s">
        <v>102</v>
      </c>
      <c r="D2" s="88" t="s">
        <v>151</v>
      </c>
    </row>
  </sheetData>
  <hyperlinks>
    <hyperlink ref="A2" r:id="rId1" xr:uid="{00000000-0004-0000-0000-000000000000}"/>
    <hyperlink ref="B2" r:id="rId2" xr:uid="{00000000-0004-0000-0000-000001000000}"/>
    <hyperlink ref="C2" r:id="rId3" xr:uid="{5766DACD-E271-4D41-B3CE-5A5D5FFC309E}"/>
    <hyperlink ref="D2" r:id="rId4" xr:uid="{E265A1A2-53D3-4B59-BF72-7FF08E0EF321}"/>
  </hyperlinks>
  <pageMargins left="0.7" right="0.7" top="0.75" bottom="0.75" header="0.3" footer="0.3"/>
  <pageSetup orientation="portrait" r:id="rId5"/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9"/>
  <sheetViews>
    <sheetView workbookViewId="0">
      <selection activeCell="D9" sqref="D9"/>
    </sheetView>
  </sheetViews>
  <sheetFormatPr defaultRowHeight="14.4" x14ac:dyDescent="0.3"/>
  <cols>
    <col min="1" max="1" width="20.77734375" style="52" customWidth="1"/>
    <col min="2" max="3" width="20.77734375" style="47" customWidth="1"/>
    <col min="4" max="4" width="20.77734375" style="52" customWidth="1"/>
    <col min="5" max="5" width="21.33203125" style="53" customWidth="1"/>
  </cols>
  <sheetData>
    <row r="1" spans="1:5" s="3" customFormat="1" x14ac:dyDescent="0.3">
      <c r="A1" s="157" t="s">
        <v>51</v>
      </c>
      <c r="B1" s="158" t="s">
        <v>49</v>
      </c>
      <c r="C1" s="158" t="s">
        <v>53</v>
      </c>
      <c r="D1" s="159" t="s">
        <v>55</v>
      </c>
      <c r="E1" s="160" t="s">
        <v>107</v>
      </c>
    </row>
    <row r="2" spans="1:5" s="3" customFormat="1" x14ac:dyDescent="0.3">
      <c r="A2" s="161" t="s">
        <v>52</v>
      </c>
      <c r="B2" s="162" t="s">
        <v>50</v>
      </c>
      <c r="C2" s="162" t="s">
        <v>54</v>
      </c>
      <c r="D2" s="163">
        <v>1</v>
      </c>
      <c r="E2" s="164">
        <v>1</v>
      </c>
    </row>
    <row r="6" spans="1:5" ht="15" x14ac:dyDescent="0.3">
      <c r="B6" s="48"/>
    </row>
    <row r="7" spans="1:5" ht="15" x14ac:dyDescent="0.3">
      <c r="B7" s="48"/>
    </row>
    <row r="8" spans="1:5" ht="15" x14ac:dyDescent="0.3">
      <c r="B8" s="48"/>
    </row>
    <row r="9" spans="1:5" ht="15" x14ac:dyDescent="0.3">
      <c r="B9" s="48"/>
    </row>
  </sheetData>
  <sheetProtection selectLockedCells="1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"/>
  <sheetViews>
    <sheetView workbookViewId="0">
      <selection activeCell="C11" sqref="C11"/>
    </sheetView>
  </sheetViews>
  <sheetFormatPr defaultRowHeight="14.4" x14ac:dyDescent="0.3"/>
  <cols>
    <col min="1" max="4" width="20.77734375" customWidth="1"/>
  </cols>
  <sheetData>
    <row r="1" spans="1:4" x14ac:dyDescent="0.3">
      <c r="A1" s="165" t="s">
        <v>75</v>
      </c>
      <c r="B1" s="166" t="s">
        <v>77</v>
      </c>
      <c r="C1" s="166" t="s">
        <v>76</v>
      </c>
      <c r="D1" s="167" t="s">
        <v>78</v>
      </c>
    </row>
    <row r="2" spans="1:4" x14ac:dyDescent="0.3">
      <c r="A2" s="124">
        <v>-10</v>
      </c>
      <c r="B2" s="124">
        <v>-10</v>
      </c>
      <c r="C2" s="124">
        <v>10</v>
      </c>
      <c r="D2" s="124">
        <v>10</v>
      </c>
    </row>
  </sheetData>
  <sheetProtection selectLockedCells="1" selectUnlockedCells="1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E0ACC-6C7F-424B-B797-CF5FD15C6EAA}">
  <sheetPr codeName="Sheet7"/>
  <dimension ref="B1:V84"/>
  <sheetViews>
    <sheetView tabSelected="1" zoomScale="117" zoomScaleNormal="117" workbookViewId="0">
      <selection activeCell="B1" sqref="B1:V1"/>
    </sheetView>
  </sheetViews>
  <sheetFormatPr defaultRowHeight="14.4" x14ac:dyDescent="0.3"/>
  <cols>
    <col min="1" max="1" width="3.109375" customWidth="1"/>
    <col min="2" max="5" width="7.77734375" style="9" customWidth="1"/>
    <col min="6" max="19" width="7.77734375" style="2" customWidth="1"/>
    <col min="20" max="21" width="7.77734375" style="4" customWidth="1"/>
    <col min="22" max="22" width="7.77734375" style="5" customWidth="1"/>
    <col min="23" max="23" width="4.5546875" customWidth="1"/>
  </cols>
  <sheetData>
    <row r="1" spans="2:22" ht="35.4" customHeight="1" thickBot="1" x14ac:dyDescent="0.35">
      <c r="B1" s="182" t="s">
        <v>159</v>
      </c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4"/>
    </row>
    <row r="2" spans="2:22" ht="18" customHeight="1" x14ac:dyDescent="0.3">
      <c r="B2" s="137" t="s">
        <v>87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9" t="s">
        <v>86</v>
      </c>
    </row>
    <row r="3" spans="2:22" ht="18" customHeight="1" x14ac:dyDescent="0.3">
      <c r="B3" s="140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2"/>
    </row>
    <row r="4" spans="2:22" ht="18" customHeight="1" x14ac:dyDescent="0.3">
      <c r="B4" s="140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 t="s">
        <v>154</v>
      </c>
      <c r="O4" s="141"/>
      <c r="P4" s="141"/>
      <c r="Q4" s="141"/>
      <c r="R4" s="141"/>
      <c r="S4" s="141"/>
      <c r="T4" s="141"/>
      <c r="U4" s="141"/>
      <c r="V4" s="142"/>
    </row>
    <row r="5" spans="2:22" ht="18" customHeight="1" x14ac:dyDescent="0.3">
      <c r="B5" s="140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2"/>
    </row>
    <row r="6" spans="2:22" ht="18" customHeight="1" x14ac:dyDescent="0.3">
      <c r="B6" s="140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 t="s">
        <v>19</v>
      </c>
      <c r="N6" s="141"/>
      <c r="O6" s="141" t="s">
        <v>44</v>
      </c>
      <c r="P6" s="141"/>
      <c r="Q6" s="141"/>
      <c r="R6" s="141"/>
      <c r="S6" s="141"/>
      <c r="T6" s="141"/>
      <c r="U6" s="141"/>
      <c r="V6" s="142"/>
    </row>
    <row r="7" spans="2:22" ht="18" customHeight="1" x14ac:dyDescent="0.3">
      <c r="B7" s="140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 t="s">
        <v>17</v>
      </c>
      <c r="N7" s="141"/>
      <c r="O7" s="141" t="s">
        <v>42</v>
      </c>
      <c r="P7" s="141"/>
      <c r="Q7" s="141"/>
      <c r="R7" s="141"/>
      <c r="S7" s="141"/>
      <c r="T7" s="141"/>
      <c r="U7" s="141"/>
      <c r="V7" s="142"/>
    </row>
    <row r="8" spans="2:22" ht="18" customHeight="1" x14ac:dyDescent="0.3">
      <c r="B8" s="140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 t="s">
        <v>15</v>
      </c>
      <c r="N8" s="141"/>
      <c r="O8" s="141" t="s">
        <v>40</v>
      </c>
      <c r="P8" s="141"/>
      <c r="Q8" s="141"/>
      <c r="R8" s="141"/>
      <c r="S8" s="141"/>
      <c r="T8" s="141"/>
      <c r="U8" s="141"/>
      <c r="V8" s="142"/>
    </row>
    <row r="9" spans="2:22" ht="18" customHeight="1" x14ac:dyDescent="0.3">
      <c r="B9" s="140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 t="s">
        <v>13</v>
      </c>
      <c r="N9" s="141"/>
      <c r="O9" s="141" t="s">
        <v>38</v>
      </c>
      <c r="P9" s="141"/>
      <c r="Q9" s="141"/>
      <c r="R9" s="141"/>
      <c r="S9" s="141"/>
      <c r="T9" s="141"/>
      <c r="U9" s="141"/>
      <c r="V9" s="142"/>
    </row>
    <row r="10" spans="2:22" ht="18" customHeight="1" x14ac:dyDescent="0.3">
      <c r="B10" s="140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 t="s">
        <v>11</v>
      </c>
      <c r="N10" s="141"/>
      <c r="O10" s="141" t="s">
        <v>35</v>
      </c>
      <c r="P10" s="141"/>
      <c r="Q10" s="141"/>
      <c r="R10" s="141"/>
      <c r="S10" s="141"/>
      <c r="T10" s="141"/>
      <c r="U10" s="141"/>
      <c r="V10" s="142"/>
    </row>
    <row r="11" spans="2:22" ht="18" customHeight="1" x14ac:dyDescent="0.3">
      <c r="B11" s="140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 t="s">
        <v>9</v>
      </c>
      <c r="N11" s="141"/>
      <c r="O11" s="141" t="s">
        <v>33</v>
      </c>
      <c r="P11" s="141"/>
      <c r="Q11" s="141"/>
      <c r="R11" s="141"/>
      <c r="S11" s="141"/>
      <c r="T11" s="141"/>
      <c r="U11" s="141"/>
      <c r="V11" s="142"/>
    </row>
    <row r="12" spans="2:22" ht="18" customHeight="1" x14ac:dyDescent="0.3">
      <c r="B12" s="140"/>
      <c r="C12" s="141"/>
      <c r="D12" s="141"/>
      <c r="E12" s="141"/>
      <c r="F12" s="141"/>
      <c r="G12" s="141"/>
      <c r="H12" s="141"/>
      <c r="I12" s="141"/>
      <c r="J12" s="141"/>
      <c r="K12" s="141"/>
      <c r="L12" s="141" t="s">
        <v>5</v>
      </c>
      <c r="M12" s="141" t="s">
        <v>6</v>
      </c>
      <c r="N12" s="141" t="s">
        <v>7</v>
      </c>
      <c r="O12" s="141" t="s">
        <v>8</v>
      </c>
      <c r="P12" s="141"/>
      <c r="Q12" s="141"/>
      <c r="R12" s="141"/>
      <c r="S12" s="141"/>
      <c r="T12" s="141"/>
      <c r="U12" s="141"/>
      <c r="V12" s="142"/>
    </row>
    <row r="13" spans="2:22" ht="18" customHeight="1" x14ac:dyDescent="0.3">
      <c r="B13" s="140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 t="s">
        <v>21</v>
      </c>
      <c r="O13" s="141"/>
      <c r="P13" s="141"/>
      <c r="Q13" s="141"/>
      <c r="R13" s="141"/>
      <c r="S13" s="141"/>
      <c r="T13" s="141"/>
      <c r="U13" s="141"/>
      <c r="V13" s="142"/>
    </row>
    <row r="14" spans="2:22" ht="18" customHeight="1" x14ac:dyDescent="0.3">
      <c r="B14" s="140"/>
      <c r="C14" s="141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 t="s">
        <v>23</v>
      </c>
      <c r="O14" s="141"/>
      <c r="P14" s="141"/>
      <c r="Q14" s="141"/>
      <c r="R14" s="141"/>
      <c r="S14" s="141"/>
      <c r="T14" s="141"/>
      <c r="U14" s="141"/>
      <c r="V14" s="142"/>
    </row>
    <row r="15" spans="2:22" ht="18" customHeight="1" x14ac:dyDescent="0.3">
      <c r="B15" s="140"/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 t="s">
        <v>25</v>
      </c>
      <c r="O15" s="141"/>
      <c r="P15" s="141"/>
      <c r="Q15" s="141"/>
      <c r="R15" s="141"/>
      <c r="S15" s="141"/>
      <c r="T15" s="141"/>
      <c r="U15" s="141"/>
      <c r="V15" s="142"/>
    </row>
    <row r="16" spans="2:22" ht="18" customHeight="1" x14ac:dyDescent="0.3">
      <c r="B16" s="140"/>
      <c r="C16" s="141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 t="s">
        <v>27</v>
      </c>
      <c r="O16" s="141"/>
      <c r="P16" s="141"/>
      <c r="Q16" s="141"/>
      <c r="R16" s="141"/>
      <c r="S16" s="141"/>
      <c r="T16" s="141"/>
      <c r="U16" s="141"/>
      <c r="V16" s="142"/>
    </row>
    <row r="17" spans="2:22" ht="18" customHeight="1" x14ac:dyDescent="0.3">
      <c r="B17" s="140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 t="s">
        <v>29</v>
      </c>
      <c r="O17" s="141"/>
      <c r="P17" s="141"/>
      <c r="Q17" s="141"/>
      <c r="R17" s="141"/>
      <c r="S17" s="141"/>
      <c r="T17" s="141"/>
      <c r="U17" s="141"/>
      <c r="V17" s="142"/>
    </row>
    <row r="18" spans="2:22" ht="18" customHeight="1" x14ac:dyDescent="0.3">
      <c r="B18" s="140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 t="s">
        <v>31</v>
      </c>
      <c r="O18" s="141"/>
      <c r="P18" s="141"/>
      <c r="Q18" s="141"/>
      <c r="R18" s="141"/>
      <c r="S18" s="141"/>
      <c r="T18" s="141"/>
      <c r="U18" s="141"/>
      <c r="V18" s="142"/>
    </row>
    <row r="19" spans="2:22" ht="18" customHeight="1" x14ac:dyDescent="0.3">
      <c r="B19" s="140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2"/>
    </row>
    <row r="20" spans="2:22" ht="18" customHeight="1" x14ac:dyDescent="0.3">
      <c r="B20" s="140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 t="s">
        <v>155</v>
      </c>
      <c r="O20" s="141"/>
      <c r="P20" s="141"/>
      <c r="Q20" s="141"/>
      <c r="R20" s="141"/>
      <c r="S20" s="141"/>
      <c r="T20" s="141"/>
      <c r="U20" s="141"/>
      <c r="V20" s="142"/>
    </row>
    <row r="21" spans="2:22" ht="18" customHeight="1" x14ac:dyDescent="0.3">
      <c r="B21" s="140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2"/>
    </row>
    <row r="22" spans="2:22" ht="18" customHeight="1" thickBot="1" x14ac:dyDescent="0.35">
      <c r="B22" s="143" t="s">
        <v>85</v>
      </c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5" t="s">
        <v>84</v>
      </c>
    </row>
    <row r="23" spans="2:22" x14ac:dyDescent="0.3">
      <c r="B23" s="3"/>
      <c r="C23" s="3"/>
      <c r="D23" s="3"/>
      <c r="E23" s="3"/>
    </row>
    <row r="24" spans="2:22" x14ac:dyDescent="0.3">
      <c r="B24" s="3"/>
      <c r="C24" s="3"/>
      <c r="D24" s="3"/>
      <c r="E24" s="3"/>
    </row>
    <row r="25" spans="2:22" x14ac:dyDescent="0.3">
      <c r="B25" s="3"/>
      <c r="C25" s="3"/>
      <c r="D25" s="3"/>
      <c r="E25" s="3"/>
    </row>
    <row r="26" spans="2:22" x14ac:dyDescent="0.3">
      <c r="B26" s="3"/>
      <c r="C26" s="3"/>
      <c r="D26" s="3"/>
      <c r="E26" s="3"/>
    </row>
    <row r="27" spans="2:22" x14ac:dyDescent="0.3">
      <c r="B27" s="2"/>
      <c r="C27" s="2"/>
      <c r="D27" s="2"/>
      <c r="E27" s="2"/>
    </row>
    <row r="84" spans="12:12" ht="24.6" x14ac:dyDescent="0.3">
      <c r="L84" s="11" t="s">
        <v>93</v>
      </c>
    </row>
  </sheetData>
  <mergeCells count="1">
    <mergeCell ref="B1:V1"/>
  </mergeCells>
  <phoneticPr fontId="6" type="noConversion"/>
  <conditionalFormatting sqref="B2:V22">
    <cfRule type="duplicateValues" dxfId="39" priority="1"/>
    <cfRule type="expression" dxfId="38" priority="2">
      <formula>INDIRECT(ADDRESS(ROW(),COLUMN()))=0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CC08324D-71BA-4397-A93C-35B120201824}">
            <xm:f>COUNTIF(Spots!$A:$A,INDIRECT(ADDRESS(ROW(),COLUMN())))=0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B2:V22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errorTitle="Spot not found !" error="Please add this name to Spot list!" prompt="Enter spot name" xr:uid="{24FDCC2F-6F65-4CE7-86E0-670316AF280C}">
          <x14:formula1>
            <xm:f>Spots!$A:$A</xm:f>
          </x14:formula1>
          <xm:sqref>B2:V22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autoPageBreaks="0"/>
  </sheetPr>
  <dimension ref="A1:AG47"/>
  <sheetViews>
    <sheetView zoomScale="150" zoomScaleNormal="150" workbookViewId="0">
      <pane xSplit="4" topLeftCell="M1" activePane="topRight" state="frozen"/>
      <selection pane="topRight" activeCell="M1" sqref="M1"/>
    </sheetView>
  </sheetViews>
  <sheetFormatPr defaultColWidth="9.109375" defaultRowHeight="14.4" x14ac:dyDescent="0.3"/>
  <cols>
    <col min="1" max="1" width="12.21875" style="131" customWidth="1"/>
    <col min="2" max="2" width="5.44140625" style="17" customWidth="1"/>
    <col min="3" max="3" width="5.6640625" style="17" customWidth="1"/>
    <col min="4" max="4" width="9.77734375" style="127" customWidth="1"/>
    <col min="5" max="5" width="54.21875" style="2" bestFit="1" customWidth="1"/>
    <col min="6" max="6" width="70.6640625" style="2" customWidth="1"/>
    <col min="7" max="7" width="19.21875" style="2" customWidth="1"/>
    <col min="8" max="8" width="11.44140625" style="2" customWidth="1"/>
    <col min="9" max="9" width="11.5546875" style="51" customWidth="1"/>
    <col min="10" max="10" width="24.33203125" style="132" customWidth="1"/>
    <col min="11" max="11" width="9.109375" style="134"/>
    <col min="12" max="32" width="9.109375" style="3"/>
    <col min="33" max="33" width="13.21875" style="5" customWidth="1"/>
    <col min="34" max="16384" width="9.109375" style="2"/>
  </cols>
  <sheetData>
    <row r="1" spans="1:33" s="10" customFormat="1" ht="34.200000000000003" customHeight="1" x14ac:dyDescent="0.3">
      <c r="A1" s="170" t="s">
        <v>0</v>
      </c>
      <c r="B1" s="171" t="s">
        <v>73</v>
      </c>
      <c r="C1" s="171" t="s">
        <v>74</v>
      </c>
      <c r="D1" s="172" t="s">
        <v>46</v>
      </c>
      <c r="E1" s="173" t="s">
        <v>1</v>
      </c>
      <c r="F1" s="174" t="s">
        <v>2</v>
      </c>
      <c r="G1" s="174" t="s">
        <v>3</v>
      </c>
      <c r="H1" s="175" t="s">
        <v>127</v>
      </c>
      <c r="I1" s="175" t="s">
        <v>101</v>
      </c>
      <c r="J1" s="176" t="s">
        <v>106</v>
      </c>
      <c r="K1" s="133"/>
      <c r="AG1" s="15"/>
    </row>
    <row r="2" spans="1:33" s="10" customFormat="1" ht="18.600000000000001" customHeight="1" x14ac:dyDescent="0.3">
      <c r="A2" s="126"/>
      <c r="B2" s="17"/>
      <c r="C2" s="17"/>
      <c r="D2" s="127"/>
      <c r="E2" s="126"/>
      <c r="F2" s="126"/>
      <c r="G2" s="126"/>
      <c r="H2" s="128"/>
      <c r="I2" s="128"/>
      <c r="J2" s="128"/>
      <c r="K2" s="133"/>
      <c r="AG2" s="129"/>
    </row>
    <row r="3" spans="1:33" x14ac:dyDescent="0.3">
      <c r="A3" s="168" t="s">
        <v>5</v>
      </c>
      <c r="B3" s="17" cm="1">
        <f t="array" ref="B3">IF(INDEX(Paths!$AB$1:$AB$441,  MATCH(INDEX($A:$A,ROW()),  Paths!$Z$1:$Z$441,0),1)="",0,INDEX(Paths!$AB$1:$AB$441,  MATCH(INDEX($A:$A,ROW()),  Paths!$Z$1:$Z$441,0),1))</f>
        <v>0</v>
      </c>
      <c r="C3" s="17" cm="1">
        <f t="array" ref="C3">IF(INDEX(Paths!$AA$1:$AA$441,   MATCH(INDEX($A:$A,ROW()),  Paths!$Z$1:$Z$441,  0),  1)="",0,INDEX(Paths!$AA$1:$AA$441,   MATCH(INDEX($A:$A,ROW()),  Paths!$Z$1:$Z$441,  0),  1))</f>
        <v>0</v>
      </c>
      <c r="D3" s="127" t="str" cm="1">
        <f t="array" ref="D3">"["&amp;IF(INDEX($B:$B,ROW())="",0,INDEX($B:$B,ROW()))&amp;","&amp;IF(INDEX($C:$C,ROW())="",0,INDEX($C:$C,ROW()))&amp;"]"</f>
        <v>[0,0]</v>
      </c>
      <c r="E3" s="7" t="s">
        <v>72</v>
      </c>
      <c r="F3" s="87" t="s">
        <v>128</v>
      </c>
      <c r="G3" s="6"/>
      <c r="I3" s="50"/>
      <c r="J3" s="50"/>
      <c r="AG3" s="6"/>
    </row>
    <row r="4" spans="1:33" x14ac:dyDescent="0.3">
      <c r="A4" s="168" t="s">
        <v>6</v>
      </c>
      <c r="B4" s="17" cm="1">
        <f t="array" ref="B4">IF(INDEX(Paths!$AB$1:$AB$441,  MATCH(INDEX($A:$A,ROW()),  Paths!$Z$1:$Z$441,0),1)="",0,INDEX(Paths!$AB$1:$AB$441,  MATCH(INDEX($A:$A,ROW()),  Paths!$Z$1:$Z$441,0),1))</f>
        <v>1</v>
      </c>
      <c r="C4" s="17" cm="1">
        <f t="array" ref="C4">IF(INDEX(Paths!$AA$1:$AA$441,   MATCH(INDEX($A:$A,ROW()),  Paths!$Z$1:$Z$441,  0),  1)="",0,INDEX(Paths!$AA$1:$AA$441,   MATCH(INDEX($A:$A,ROW()),  Paths!$Z$1:$Z$441,  0),  1))</f>
        <v>0</v>
      </c>
      <c r="D4" s="127" t="str" cm="1">
        <f t="array" ref="D4">"["&amp;IF(INDEX($B:$B,ROW())="",0,INDEX($B:$B,ROW()))&amp;","&amp;IF(INDEX($C:$C,ROW())="",0,INDEX($C:$C,ROW()))&amp;"]"</f>
        <v>[1,0]</v>
      </c>
      <c r="E4" s="8" t="s">
        <v>6</v>
      </c>
      <c r="F4" s="87" t="s">
        <v>129</v>
      </c>
      <c r="G4" s="6"/>
      <c r="I4" s="50"/>
      <c r="J4" s="50"/>
      <c r="AG4" s="6"/>
    </row>
    <row r="5" spans="1:33" x14ac:dyDescent="0.3">
      <c r="A5" s="168" t="s">
        <v>7</v>
      </c>
      <c r="B5" s="17" cm="1">
        <f t="array" ref="B5">IF(INDEX(Paths!$AB$1:$AB$441,  MATCH(INDEX($A:$A,ROW()),  Paths!$Z$1:$Z$441,0),1)="",0,INDEX(Paths!$AB$1:$AB$441,  MATCH(INDEX($A:$A,ROW()),  Paths!$Z$1:$Z$441,0),1))</f>
        <v>2</v>
      </c>
      <c r="C5" s="17" cm="1">
        <f t="array" ref="C5">IF(INDEX(Paths!$AA$1:$AA$441,   MATCH(INDEX($A:$A,ROW()),  Paths!$Z$1:$Z$441,  0),  1)="",0,INDEX(Paths!$AA$1:$AA$441,   MATCH(INDEX($A:$A,ROW()),  Paths!$Z$1:$Z$441,  0),  1))</f>
        <v>0</v>
      </c>
      <c r="D5" s="127" t="str" cm="1">
        <f t="array" ref="D5">"["&amp;IF(INDEX($B:$B,ROW())="",0,INDEX($B:$B,ROW()))&amp;","&amp;IF(INDEX($C:$C,ROW())="",0,INDEX($C:$C,ROW()))&amp;"]"</f>
        <v>[2,0]</v>
      </c>
      <c r="E5" s="8" t="s">
        <v>58</v>
      </c>
      <c r="F5" s="87" t="s">
        <v>130</v>
      </c>
      <c r="G5" s="6"/>
      <c r="I5" s="50"/>
      <c r="J5" s="50"/>
      <c r="AG5" s="6"/>
    </row>
    <row r="6" spans="1:33" x14ac:dyDescent="0.3">
      <c r="A6" s="168" t="s">
        <v>8</v>
      </c>
      <c r="B6" s="17" cm="1">
        <f t="array" ref="B6">IF(INDEX(Paths!$AB$1:$AB$441,  MATCH(INDEX($A:$A,ROW()),  Paths!$Z$1:$Z$441,0),1)="",0,INDEX(Paths!$AB$1:$AB$441,  MATCH(INDEX($A:$A,ROW()),  Paths!$Z$1:$Z$441,0),1))</f>
        <v>3</v>
      </c>
      <c r="C6" s="17" cm="1">
        <f t="array" ref="C6">IF(INDEX(Paths!$AA$1:$AA$441,   MATCH(INDEX($A:$A,ROW()),  Paths!$Z$1:$Z$441,  0),  1)="",0,INDEX(Paths!$AA$1:$AA$441,   MATCH(INDEX($A:$A,ROW()),  Paths!$Z$1:$Z$441,  0),  1))</f>
        <v>0</v>
      </c>
      <c r="D6" s="127" t="str" cm="1">
        <f t="array" ref="D6">"["&amp;IF(INDEX($B:$B,ROW())="",0,INDEX($B:$B,ROW()))&amp;","&amp;IF(INDEX($C:$C,ROW())="",0,INDEX($C:$C,ROW()))&amp;"]"</f>
        <v>[3,0]</v>
      </c>
      <c r="E6" s="8" t="s">
        <v>8</v>
      </c>
      <c r="F6" s="87" t="s">
        <v>131</v>
      </c>
      <c r="G6" s="6"/>
      <c r="I6" s="50"/>
      <c r="J6" s="50"/>
      <c r="AG6" s="6"/>
    </row>
    <row r="7" spans="1:33" x14ac:dyDescent="0.3">
      <c r="A7" s="168"/>
      <c r="E7" s="8"/>
      <c r="F7" s="87"/>
      <c r="G7" s="6"/>
      <c r="I7" s="50"/>
      <c r="J7" s="50"/>
      <c r="AG7" s="6"/>
    </row>
    <row r="8" spans="1:33" x14ac:dyDescent="0.3">
      <c r="A8" s="168" t="s">
        <v>9</v>
      </c>
      <c r="B8" s="17" cm="1">
        <f t="array" ref="B8">IF(INDEX(Paths!$AB$1:$AB$441,  MATCH(INDEX($A:$A,ROW()),  Paths!$Z$1:$Z$441,0),1)="",0,INDEX(Paths!$AB$1:$AB$441,  MATCH(INDEX($A:$A,ROW()),  Paths!$Z$1:$Z$441,0),1))</f>
        <v>1</v>
      </c>
      <c r="C8" s="17" cm="1">
        <f t="array" ref="C8">IF(INDEX(Paths!$AA$1:$AA$441,   MATCH(INDEX($A:$A,ROW()),  Paths!$Z$1:$Z$441,  0),  1)="",0,INDEX(Paths!$AA$1:$AA$441,   MATCH(INDEX($A:$A,ROW()),  Paths!$Z$1:$Z$441,  0),  1))</f>
        <v>1</v>
      </c>
      <c r="D8" s="127" t="str" cm="1">
        <f t="array" ref="D8">"["&amp;IF(INDEX($B:$B,ROW())="",0,INDEX($B:$B,ROW()))&amp;","&amp;IF(INDEX($C:$C,ROW())="",0,INDEX($C:$C,ROW()))&amp;"]"</f>
        <v>[1,1]</v>
      </c>
      <c r="E8" s="7" t="s">
        <v>59</v>
      </c>
      <c r="F8" s="87" t="s">
        <v>132</v>
      </c>
      <c r="G8" s="6" t="s">
        <v>10</v>
      </c>
      <c r="I8" s="50"/>
      <c r="J8" s="50"/>
      <c r="AG8" s="6"/>
    </row>
    <row r="9" spans="1:33" x14ac:dyDescent="0.3">
      <c r="A9" s="168" t="s">
        <v>11</v>
      </c>
      <c r="B9" s="17" cm="1">
        <f t="array" ref="B9">IF(INDEX(Paths!$AB$1:$AB$441,  MATCH(INDEX($A:$A,ROW()),  Paths!$Z$1:$Z$441,0),1)="",0,INDEX(Paths!$AB$1:$AB$441,  MATCH(INDEX($A:$A,ROW()),  Paths!$Z$1:$Z$441,0),1))</f>
        <v>1</v>
      </c>
      <c r="C9" s="17" cm="1">
        <f t="array" ref="C9">IF(INDEX(Paths!$AA$1:$AA$441,   MATCH(INDEX($A:$A,ROW()),  Paths!$Z$1:$Z$441,  0),  1)="",0,INDEX(Paths!$AA$1:$AA$441,   MATCH(INDEX($A:$A,ROW()),  Paths!$Z$1:$Z$441,  0),  1))</f>
        <v>2</v>
      </c>
      <c r="D9" s="127" t="str" cm="1">
        <f t="array" ref="D9">"["&amp;IF(INDEX($B:$B,ROW())="",0,INDEX($B:$B,ROW()))&amp;","&amp;IF(INDEX($C:$C,ROW())="",0,INDEX($C:$C,ROW()))&amp;"]"</f>
        <v>[1,2]</v>
      </c>
      <c r="E9" s="7" t="s">
        <v>60</v>
      </c>
      <c r="F9" s="87" t="s">
        <v>133</v>
      </c>
      <c r="G9" s="6" t="s">
        <v>12</v>
      </c>
      <c r="I9" s="50"/>
      <c r="J9" s="50"/>
      <c r="AG9" s="6"/>
    </row>
    <row r="10" spans="1:33" x14ac:dyDescent="0.3">
      <c r="A10" s="168" t="s">
        <v>13</v>
      </c>
      <c r="B10" s="17" cm="1">
        <f t="array" ref="B10">IF(INDEX(Paths!$AB$1:$AB$441,  MATCH(INDEX($A:$A,ROW()),  Paths!$Z$1:$Z$441,0),1)="",0,INDEX(Paths!$AB$1:$AB$441,  MATCH(INDEX($A:$A,ROW()),  Paths!$Z$1:$Z$441,0),1))</f>
        <v>1</v>
      </c>
      <c r="C10" s="17" cm="1">
        <f t="array" ref="C10">IF(INDEX(Paths!$AA$1:$AA$441,   MATCH(INDEX($A:$A,ROW()),  Paths!$Z$1:$Z$441,  0),  1)="",0,INDEX(Paths!$AA$1:$AA$441,   MATCH(INDEX($A:$A,ROW()),  Paths!$Z$1:$Z$441,  0),  1))</f>
        <v>3</v>
      </c>
      <c r="D10" s="127" t="str" cm="1">
        <f t="array" ref="D10">"["&amp;IF(INDEX($B:$B,ROW())="",0,INDEX($B:$B,ROW()))&amp;","&amp;IF(INDEX($C:$C,ROW())="",0,INDEX($C:$C,ROW()))&amp;"]"</f>
        <v>[1,3]</v>
      </c>
      <c r="E10" s="7" t="s">
        <v>61</v>
      </c>
      <c r="F10" s="87" t="s">
        <v>134</v>
      </c>
      <c r="G10" s="6" t="s">
        <v>14</v>
      </c>
      <c r="I10" s="50"/>
      <c r="J10" s="50"/>
      <c r="AG10" s="6"/>
    </row>
    <row r="11" spans="1:33" x14ac:dyDescent="0.3">
      <c r="A11" s="168" t="s">
        <v>15</v>
      </c>
      <c r="B11" s="17" cm="1">
        <f t="array" ref="B11">IF(INDEX(Paths!$AB$1:$AB$441,  MATCH(INDEX($A:$A,ROW()),  Paths!$Z$1:$Z$441,0),1)="",0,INDEX(Paths!$AB$1:$AB$441,  MATCH(INDEX($A:$A,ROW()),  Paths!$Z$1:$Z$441,0),1))</f>
        <v>1</v>
      </c>
      <c r="C11" s="17" cm="1">
        <f t="array" ref="C11">IF(INDEX(Paths!$AA$1:$AA$441,   MATCH(INDEX($A:$A,ROW()),  Paths!$Z$1:$Z$441,  0),  1)="",0,INDEX(Paths!$AA$1:$AA$441,   MATCH(INDEX($A:$A,ROW()),  Paths!$Z$1:$Z$441,  0),  1))</f>
        <v>4</v>
      </c>
      <c r="D11" s="127" t="str" cm="1">
        <f t="array" ref="D11">"["&amp;IF(INDEX($B:$B,ROW())="",0,INDEX($B:$B,ROW()))&amp;","&amp;IF(INDEX($C:$C,ROW())="",0,INDEX($C:$C,ROW()))&amp;"]"</f>
        <v>[1,4]</v>
      </c>
      <c r="E11" s="7" t="s">
        <v>62</v>
      </c>
      <c r="F11" s="87" t="s">
        <v>135</v>
      </c>
      <c r="G11" s="6" t="s">
        <v>16</v>
      </c>
      <c r="I11" s="50"/>
      <c r="J11" s="50"/>
      <c r="AG11" s="6"/>
    </row>
    <row r="12" spans="1:33" x14ac:dyDescent="0.3">
      <c r="A12" s="168" t="s">
        <v>17</v>
      </c>
      <c r="B12" s="17" cm="1">
        <f t="array" ref="B12">IF(INDEX(Paths!$AB$1:$AB$441,  MATCH(INDEX($A:$A,ROW()),  Paths!$Z$1:$Z$441,0),1)="",0,INDEX(Paths!$AB$1:$AB$441,  MATCH(INDEX($A:$A,ROW()),  Paths!$Z$1:$Z$441,0),1))</f>
        <v>1</v>
      </c>
      <c r="C12" s="17" cm="1">
        <f t="array" ref="C12">IF(INDEX(Paths!$AA$1:$AA$441,   MATCH(INDEX($A:$A,ROW()),  Paths!$Z$1:$Z$441,  0),  1)="",0,INDEX(Paths!$AA$1:$AA$441,   MATCH(INDEX($A:$A,ROW()),  Paths!$Z$1:$Z$441,  0),  1))</f>
        <v>5</v>
      </c>
      <c r="D12" s="127" t="str" cm="1">
        <f t="array" ref="D12">"["&amp;IF(INDEX($B:$B,ROW())="",0,INDEX($B:$B,ROW()))&amp;","&amp;IF(INDEX($C:$C,ROW())="",0,INDEX($C:$C,ROW()))&amp;"]"</f>
        <v>[1,5]</v>
      </c>
      <c r="E12" s="7" t="s">
        <v>63</v>
      </c>
      <c r="F12" s="87" t="s">
        <v>136</v>
      </c>
      <c r="G12" s="6" t="s">
        <v>18</v>
      </c>
      <c r="I12" s="50"/>
      <c r="J12" s="50"/>
      <c r="AG12" s="6"/>
    </row>
    <row r="13" spans="1:33" x14ac:dyDescent="0.3">
      <c r="A13" s="168" t="s">
        <v>19</v>
      </c>
      <c r="B13" s="17" cm="1">
        <f t="array" ref="B13">IF(INDEX(Paths!$AB$1:$AB$441,  MATCH(INDEX($A:$A,ROW()),  Paths!$Z$1:$Z$441,0),1)="",0,INDEX(Paths!$AB$1:$AB$441,  MATCH(INDEX($A:$A,ROW()),  Paths!$Z$1:$Z$441,0),1))</f>
        <v>1</v>
      </c>
      <c r="C13" s="17" cm="1">
        <f t="array" ref="C13">IF(INDEX(Paths!$AA$1:$AA$441,   MATCH(INDEX($A:$A,ROW()),  Paths!$Z$1:$Z$441,  0),  1)="",0,INDEX(Paths!$AA$1:$AA$441,   MATCH(INDEX($A:$A,ROW()),  Paths!$Z$1:$Z$441,  0),  1))</f>
        <v>6</v>
      </c>
      <c r="D13" s="127" t="str" cm="1">
        <f t="array" ref="D13">"["&amp;IF(INDEX($B:$B,ROW())="",0,INDEX($B:$B,ROW()))&amp;","&amp;IF(INDEX($C:$C,ROW())="",0,INDEX($C:$C,ROW()))&amp;"]"</f>
        <v>[1,6]</v>
      </c>
      <c r="E13" s="7" t="s">
        <v>64</v>
      </c>
      <c r="F13" s="87" t="s">
        <v>137</v>
      </c>
      <c r="G13" s="6" t="s">
        <v>20</v>
      </c>
      <c r="I13" s="50"/>
      <c r="J13" s="50"/>
      <c r="AG13" s="6"/>
    </row>
    <row r="14" spans="1:33" x14ac:dyDescent="0.3">
      <c r="A14" s="168"/>
      <c r="E14" s="7"/>
      <c r="F14" s="87"/>
      <c r="G14" s="6"/>
      <c r="I14" s="50"/>
      <c r="J14" s="50"/>
      <c r="AG14" s="6"/>
    </row>
    <row r="15" spans="1:33" x14ac:dyDescent="0.3">
      <c r="A15" s="168" t="s">
        <v>21</v>
      </c>
      <c r="B15" s="17" cm="1">
        <f t="array" ref="B15">IF(INDEX(Paths!$AB$1:$AB$441,  MATCH(INDEX($A:$A,ROW()),  Paths!$Z$1:$Z$441,0),1)="",0,INDEX(Paths!$AB$1:$AB$441,  MATCH(INDEX($A:$A,ROW()),  Paths!$Z$1:$Z$441,0),1))</f>
        <v>2</v>
      </c>
      <c r="C15" s="17" cm="1">
        <f t="array" ref="C15">IF(INDEX(Paths!$AA$1:$AA$441,   MATCH(INDEX($A:$A,ROW()),  Paths!$Z$1:$Z$441,  0),  1)="",0,INDEX(Paths!$AA$1:$AA$441,   MATCH(INDEX($A:$A,ROW()),  Paths!$Z$1:$Z$441,  0),  1))</f>
        <v>-1</v>
      </c>
      <c r="D15" s="127" t="str" cm="1">
        <f t="array" ref="D15">"["&amp;IF(INDEX($B:$B,ROW())="",0,INDEX($B:$B,ROW()))&amp;","&amp;IF(INDEX($C:$C,ROW())="",0,INDEX($C:$C,ROW()))&amp;"]"</f>
        <v>[2,-1]</v>
      </c>
      <c r="E15" s="7" t="s">
        <v>65</v>
      </c>
      <c r="F15" s="87" t="s">
        <v>138</v>
      </c>
      <c r="G15" s="6" t="s">
        <v>22</v>
      </c>
      <c r="I15" s="50"/>
      <c r="J15" s="50"/>
      <c r="AG15" s="6"/>
    </row>
    <row r="16" spans="1:33" x14ac:dyDescent="0.3">
      <c r="A16" s="168" t="s">
        <v>23</v>
      </c>
      <c r="B16" s="17" cm="1">
        <f t="array" ref="B16">IF(INDEX(Paths!$AB$1:$AB$441,  MATCH(INDEX($A:$A,ROW()),  Paths!$Z$1:$Z$441,0),1)="",0,INDEX(Paths!$AB$1:$AB$441,  MATCH(INDEX($A:$A,ROW()),  Paths!$Z$1:$Z$441,0),1))</f>
        <v>2</v>
      </c>
      <c r="C16" s="17" cm="1">
        <f t="array" ref="C16">IF(INDEX(Paths!$AA$1:$AA$441,   MATCH(INDEX($A:$A,ROW()),  Paths!$Z$1:$Z$441,  0),  1)="",0,INDEX(Paths!$AA$1:$AA$441,   MATCH(INDEX($A:$A,ROW()),  Paths!$Z$1:$Z$441,  0),  1))</f>
        <v>-2</v>
      </c>
      <c r="D16" s="127" t="str" cm="1">
        <f t="array" ref="D16">"["&amp;IF(INDEX($B:$B,ROW())="",0,INDEX($B:$B,ROW()))&amp;","&amp;IF(INDEX($C:$C,ROW())="",0,INDEX($C:$C,ROW()))&amp;"]"</f>
        <v>[2,-2]</v>
      </c>
      <c r="E16" s="7" t="s">
        <v>66</v>
      </c>
      <c r="F16" s="87" t="s">
        <v>139</v>
      </c>
      <c r="G16" s="6" t="s">
        <v>24</v>
      </c>
      <c r="I16" s="50"/>
      <c r="J16" s="50"/>
      <c r="AG16" s="6"/>
    </row>
    <row r="17" spans="1:33" x14ac:dyDescent="0.3">
      <c r="A17" s="168" t="s">
        <v>25</v>
      </c>
      <c r="B17" s="17" cm="1">
        <f t="array" ref="B17">IF(INDEX(Paths!$AB$1:$AB$441,  MATCH(INDEX($A:$A,ROW()),  Paths!$Z$1:$Z$441,0),1)="",0,INDEX(Paths!$AB$1:$AB$441,  MATCH(INDEX($A:$A,ROW()),  Paths!$Z$1:$Z$441,0),1))</f>
        <v>2</v>
      </c>
      <c r="C17" s="17" cm="1">
        <f t="array" ref="C17">IF(INDEX(Paths!$AA$1:$AA$441,   MATCH(INDEX($A:$A,ROW()),  Paths!$Z$1:$Z$441,  0),  1)="",0,INDEX(Paths!$AA$1:$AA$441,   MATCH(INDEX($A:$A,ROW()),  Paths!$Z$1:$Z$441,  0),  1))</f>
        <v>-3</v>
      </c>
      <c r="D17" s="127" t="str" cm="1">
        <f t="array" ref="D17">"["&amp;IF(INDEX($B:$B,ROW())="",0,INDEX($B:$B,ROW()))&amp;","&amp;IF(INDEX($C:$C,ROW())="",0,INDEX($C:$C,ROW()))&amp;"]"</f>
        <v>[2,-3]</v>
      </c>
      <c r="E17" s="7" t="s">
        <v>67</v>
      </c>
      <c r="F17" s="87" t="s">
        <v>140</v>
      </c>
      <c r="G17" s="6" t="s">
        <v>26</v>
      </c>
      <c r="I17" s="50"/>
      <c r="J17" s="50"/>
      <c r="AG17" s="6"/>
    </row>
    <row r="18" spans="1:33" x14ac:dyDescent="0.3">
      <c r="A18" s="168" t="s">
        <v>27</v>
      </c>
      <c r="B18" s="17" cm="1">
        <f t="array" ref="B18">IF(INDEX(Paths!$AB$1:$AB$441,  MATCH(INDEX($A:$A,ROW()),  Paths!$Z$1:$Z$441,0),1)="",0,INDEX(Paths!$AB$1:$AB$441,  MATCH(INDEX($A:$A,ROW()),  Paths!$Z$1:$Z$441,0),1))</f>
        <v>2</v>
      </c>
      <c r="C18" s="17" cm="1">
        <f t="array" ref="C18">IF(INDEX(Paths!$AA$1:$AA$441,   MATCH(INDEX($A:$A,ROW()),  Paths!$Z$1:$Z$441,  0),  1)="",0,INDEX(Paths!$AA$1:$AA$441,   MATCH(INDEX($A:$A,ROW()),  Paths!$Z$1:$Z$441,  0),  1))</f>
        <v>-4</v>
      </c>
      <c r="D18" s="127" t="str" cm="1">
        <f t="array" ref="D18">"["&amp;IF(INDEX($B:$B,ROW())="",0,INDEX($B:$B,ROW()))&amp;","&amp;IF(INDEX($C:$C,ROW())="",0,INDEX($C:$C,ROW()))&amp;"]"</f>
        <v>[2,-4]</v>
      </c>
      <c r="E18" s="7" t="s">
        <v>68</v>
      </c>
      <c r="F18" s="87" t="s">
        <v>141</v>
      </c>
      <c r="G18" s="6" t="s">
        <v>28</v>
      </c>
      <c r="I18" s="50"/>
      <c r="J18" s="50"/>
      <c r="AG18" s="6"/>
    </row>
    <row r="19" spans="1:33" x14ac:dyDescent="0.3">
      <c r="A19" s="168" t="s">
        <v>29</v>
      </c>
      <c r="B19" s="17" cm="1">
        <f t="array" ref="B19">IF(INDEX(Paths!$AB$1:$AB$441,  MATCH(INDEX($A:$A,ROW()),  Paths!$Z$1:$Z$441,0),1)="",0,INDEX(Paths!$AB$1:$AB$441,  MATCH(INDEX($A:$A,ROW()),  Paths!$Z$1:$Z$441,0),1))</f>
        <v>2</v>
      </c>
      <c r="C19" s="17" cm="1">
        <f t="array" ref="C19">IF(INDEX(Paths!$AA$1:$AA$441,   MATCH(INDEX($A:$A,ROW()),  Paths!$Z$1:$Z$441,  0),  1)="",0,INDEX(Paths!$AA$1:$AA$441,   MATCH(INDEX($A:$A,ROW()),  Paths!$Z$1:$Z$441,  0),  1))</f>
        <v>-5</v>
      </c>
      <c r="D19" s="127" t="str" cm="1">
        <f t="array" ref="D19">"["&amp;IF(INDEX($B:$B,ROW())="",0,INDEX($B:$B,ROW()))&amp;","&amp;IF(INDEX($C:$C,ROW())="",0,INDEX($C:$C,ROW()))&amp;"]"</f>
        <v>[2,-5]</v>
      </c>
      <c r="E19" s="7" t="s">
        <v>70</v>
      </c>
      <c r="F19" s="87" t="s">
        <v>142</v>
      </c>
      <c r="G19" s="6" t="s">
        <v>30</v>
      </c>
      <c r="I19" s="50"/>
      <c r="J19" s="50"/>
      <c r="AG19" s="6"/>
    </row>
    <row r="20" spans="1:33" x14ac:dyDescent="0.3">
      <c r="A20" s="168" t="s">
        <v>31</v>
      </c>
      <c r="B20" s="17" cm="1">
        <f t="array" ref="B20">IF(INDEX(Paths!$AB$1:$AB$441,  MATCH(INDEX($A:$A,ROW()),  Paths!$Z$1:$Z$441,0),1)="",0,INDEX(Paths!$AB$1:$AB$441,  MATCH(INDEX($A:$A,ROW()),  Paths!$Z$1:$Z$441,0),1))</f>
        <v>2</v>
      </c>
      <c r="C20" s="17" cm="1">
        <f t="array" ref="C20">IF(INDEX(Paths!$AA$1:$AA$441,   MATCH(INDEX($A:$A,ROW()),  Paths!$Z$1:$Z$441,  0),  1)="",0,INDEX(Paths!$AA$1:$AA$441,   MATCH(INDEX($A:$A,ROW()),  Paths!$Z$1:$Z$441,  0),  1))</f>
        <v>-6</v>
      </c>
      <c r="D20" s="127" t="str" cm="1">
        <f t="array" ref="D20">"["&amp;IF(INDEX($B:$B,ROW())="",0,INDEX($B:$B,ROW()))&amp;","&amp;IF(INDEX($C:$C,ROW())="",0,INDEX($C:$C,ROW()))&amp;"]"</f>
        <v>[2,-6]</v>
      </c>
      <c r="E20" s="7" t="s">
        <v>69</v>
      </c>
      <c r="F20" s="87" t="s">
        <v>143</v>
      </c>
      <c r="G20" s="6" t="s">
        <v>32</v>
      </c>
      <c r="I20" s="50"/>
      <c r="J20" s="50"/>
      <c r="AG20" s="6"/>
    </row>
    <row r="21" spans="1:33" x14ac:dyDescent="0.3">
      <c r="A21" s="168"/>
      <c r="E21" s="7"/>
      <c r="F21" s="87"/>
      <c r="G21" s="6"/>
      <c r="I21" s="50"/>
      <c r="J21" s="50"/>
      <c r="AG21" s="6"/>
    </row>
    <row r="22" spans="1:33" x14ac:dyDescent="0.3">
      <c r="A22" s="168" t="s">
        <v>33</v>
      </c>
      <c r="B22" s="17" cm="1">
        <f t="array" ref="B22">IF(INDEX(Paths!$AB$1:$AB$441,  MATCH(INDEX($A:$A,ROW()),  Paths!$Z$1:$Z$441,0),1)="",0,INDEX(Paths!$AB$1:$AB$441,  MATCH(INDEX($A:$A,ROW()),  Paths!$Z$1:$Z$441,0),1))</f>
        <v>3</v>
      </c>
      <c r="C22" s="17" cm="1">
        <f t="array" ref="C22">IF(INDEX(Paths!$AA$1:$AA$441,   MATCH(INDEX($A:$A,ROW()),  Paths!$Z$1:$Z$441,  0),  1)="",0,INDEX(Paths!$AA$1:$AA$441,   MATCH(INDEX($A:$A,ROW()),  Paths!$Z$1:$Z$441,  0),  1))</f>
        <v>1</v>
      </c>
      <c r="D22" s="127" t="str" cm="1">
        <f t="array" ref="D22">"["&amp;IF(INDEX($B:$B,ROW())="",0,INDEX($B:$B,ROW()))&amp;","&amp;IF(INDEX($C:$C,ROW())="",0,INDEX($C:$C,ROW()))&amp;"]"</f>
        <v>[3,1]</v>
      </c>
      <c r="E22" s="7" t="s">
        <v>71</v>
      </c>
      <c r="F22" s="87" t="s">
        <v>144</v>
      </c>
      <c r="G22" s="6" t="s">
        <v>34</v>
      </c>
      <c r="I22" s="50"/>
      <c r="J22" s="50"/>
      <c r="AG22" s="6"/>
    </row>
    <row r="23" spans="1:33" x14ac:dyDescent="0.3">
      <c r="A23" s="168" t="s">
        <v>35</v>
      </c>
      <c r="B23" s="17" cm="1">
        <f t="array" ref="B23">IF(INDEX(Paths!$AB$1:$AB$441,  MATCH(INDEX($A:$A,ROW()),  Paths!$Z$1:$Z$441,0),1)="",0,INDEX(Paths!$AB$1:$AB$441,  MATCH(INDEX($A:$A,ROW()),  Paths!$Z$1:$Z$441,0),1))</f>
        <v>3</v>
      </c>
      <c r="C23" s="17" cm="1">
        <f t="array" ref="C23">IF(INDEX(Paths!$AA$1:$AA$441,   MATCH(INDEX($A:$A,ROW()),  Paths!$Z$1:$Z$441,  0),  1)="",0,INDEX(Paths!$AA$1:$AA$441,   MATCH(INDEX($A:$A,ROW()),  Paths!$Z$1:$Z$441,  0),  1))</f>
        <v>2</v>
      </c>
      <c r="D23" s="127" t="str" cm="1">
        <f t="array" ref="D23">"["&amp;IF(INDEX($B:$B,ROW())="",0,INDEX($B:$B,ROW()))&amp;","&amp;IF(INDEX($C:$C,ROW())="",0,INDEX($C:$C,ROW()))&amp;"]"</f>
        <v>[3,2]</v>
      </c>
      <c r="E23" s="8" t="s">
        <v>36</v>
      </c>
      <c r="F23" s="87" t="s">
        <v>145</v>
      </c>
      <c r="G23" s="6" t="s">
        <v>37</v>
      </c>
      <c r="I23" s="50"/>
      <c r="J23" s="50"/>
      <c r="AG23" s="6"/>
    </row>
    <row r="24" spans="1:33" x14ac:dyDescent="0.3">
      <c r="A24" s="168" t="s">
        <v>38</v>
      </c>
      <c r="B24" s="17" cm="1">
        <f t="array" ref="B24">IF(INDEX(Paths!$AB$1:$AB$441,  MATCH(INDEX($A:$A,ROW()),  Paths!$Z$1:$Z$441,0),1)="",0,INDEX(Paths!$AB$1:$AB$441,  MATCH(INDEX($A:$A,ROW()),  Paths!$Z$1:$Z$441,0),1))</f>
        <v>3</v>
      </c>
      <c r="C24" s="17" cm="1">
        <f t="array" ref="C24">IF(INDEX(Paths!$AA$1:$AA$441,   MATCH(INDEX($A:$A,ROW()),  Paths!$Z$1:$Z$441,  0),  1)="",0,INDEX(Paths!$AA$1:$AA$441,   MATCH(INDEX($A:$A,ROW()),  Paths!$Z$1:$Z$441,  0),  1))</f>
        <v>3</v>
      </c>
      <c r="D24" s="127" t="str" cm="1">
        <f t="array" ref="D24">"["&amp;IF(INDEX($B:$B,ROW())="",0,INDEX($B:$B,ROW()))&amp;","&amp;IF(INDEX($C:$C,ROW())="",0,INDEX($C:$C,ROW()))&amp;"]"</f>
        <v>[3,3]</v>
      </c>
      <c r="E24" s="8" t="s">
        <v>39</v>
      </c>
      <c r="F24" s="87" t="s">
        <v>146</v>
      </c>
      <c r="G24" s="6" t="s">
        <v>37</v>
      </c>
      <c r="I24" s="50"/>
      <c r="J24" s="50"/>
      <c r="AG24" s="6"/>
    </row>
    <row r="25" spans="1:33" x14ac:dyDescent="0.3">
      <c r="A25" s="168" t="s">
        <v>40</v>
      </c>
      <c r="B25" s="17" cm="1">
        <f t="array" ref="B25">IF(INDEX(Paths!$AB$1:$AB$441,  MATCH(INDEX($A:$A,ROW()),  Paths!$Z$1:$Z$441,0),1)="",0,INDEX(Paths!$AB$1:$AB$441,  MATCH(INDEX($A:$A,ROW()),  Paths!$Z$1:$Z$441,0),1))</f>
        <v>3</v>
      </c>
      <c r="C25" s="17" cm="1">
        <f t="array" ref="C25">IF(INDEX(Paths!$AA$1:$AA$441,   MATCH(INDEX($A:$A,ROW()),  Paths!$Z$1:$Z$441,  0),  1)="",0,INDEX(Paths!$AA$1:$AA$441,   MATCH(INDEX($A:$A,ROW()),  Paths!$Z$1:$Z$441,  0),  1))</f>
        <v>4</v>
      </c>
      <c r="D25" s="127" t="str" cm="1">
        <f t="array" ref="D25">"["&amp;IF(INDEX($B:$B,ROW())="",0,INDEX($B:$B,ROW()))&amp;","&amp;IF(INDEX($C:$C,ROW())="",0,INDEX($C:$C,ROW()))&amp;"]"</f>
        <v>[3,4]</v>
      </c>
      <c r="E25" s="8" t="s">
        <v>41</v>
      </c>
      <c r="F25" s="87" t="s">
        <v>147</v>
      </c>
      <c r="G25" s="6" t="s">
        <v>37</v>
      </c>
      <c r="I25" s="50"/>
      <c r="J25" s="50"/>
      <c r="AG25" s="6"/>
    </row>
    <row r="26" spans="1:33" x14ac:dyDescent="0.3">
      <c r="A26" s="168" t="s">
        <v>42</v>
      </c>
      <c r="B26" s="17" cm="1">
        <f t="array" ref="B26">IF(INDEX(Paths!$AB$1:$AB$441,  MATCH(INDEX($A:$A,ROW()),  Paths!$Z$1:$Z$441,0),1)="",0,INDEX(Paths!$AB$1:$AB$441,  MATCH(INDEX($A:$A,ROW()),  Paths!$Z$1:$Z$441,0),1))</f>
        <v>3</v>
      </c>
      <c r="C26" s="17" cm="1">
        <f t="array" ref="C26">IF(INDEX(Paths!$AA$1:$AA$441,   MATCH(INDEX($A:$A,ROW()),  Paths!$Z$1:$Z$441,  0),  1)="",0,INDEX(Paths!$AA$1:$AA$441,   MATCH(INDEX($A:$A,ROW()),  Paths!$Z$1:$Z$441,  0),  1))</f>
        <v>5</v>
      </c>
      <c r="D26" s="127" t="str" cm="1">
        <f t="array" ref="D26">"["&amp;IF(INDEX($B:$B,ROW())="",0,INDEX($B:$B,ROW()))&amp;","&amp;IF(INDEX($C:$C,ROW())="",0,INDEX($C:$C,ROW()))&amp;"]"</f>
        <v>[3,5]</v>
      </c>
      <c r="E26" s="8" t="s">
        <v>43</v>
      </c>
      <c r="F26" s="87" t="s">
        <v>148</v>
      </c>
      <c r="G26" s="6" t="s">
        <v>37</v>
      </c>
      <c r="I26" s="50"/>
      <c r="J26" s="50"/>
      <c r="AG26" s="6"/>
    </row>
    <row r="27" spans="1:33" x14ac:dyDescent="0.3">
      <c r="A27" s="168" t="s">
        <v>44</v>
      </c>
      <c r="B27" s="17" cm="1">
        <f t="array" ref="B27">IF(INDEX(Paths!$AB$1:$AB$441,  MATCH(INDEX($A:$A,ROW()),  Paths!$Z$1:$Z$441,0),1)="",0,INDEX(Paths!$AB$1:$AB$441,  MATCH(INDEX($A:$A,ROW()),  Paths!$Z$1:$Z$441,0),1))</f>
        <v>3</v>
      </c>
      <c r="C27" s="17" cm="1">
        <f t="array" ref="C27">IF(INDEX(Paths!$AA$1:$AA$441,   MATCH(INDEX($A:$A,ROW()),  Paths!$Z$1:$Z$441,  0),  1)="",0,INDEX(Paths!$AA$1:$AA$441,   MATCH(INDEX($A:$A,ROW()),  Paths!$Z$1:$Z$441,  0),  1))</f>
        <v>6</v>
      </c>
      <c r="D27" s="127" t="str" cm="1">
        <f t="array" ref="D27">"["&amp;IF(INDEX($B:$B,ROW())="",0,INDEX($B:$B,ROW()))&amp;","&amp;IF(INDEX($C:$C,ROW())="",0,INDEX($C:$C,ROW()))&amp;"]"</f>
        <v>[3,6]</v>
      </c>
      <c r="E27" s="8" t="s">
        <v>45</v>
      </c>
      <c r="F27" s="87" t="s">
        <v>149</v>
      </c>
      <c r="G27" s="6" t="s">
        <v>37</v>
      </c>
      <c r="I27" s="50"/>
      <c r="J27" s="50"/>
      <c r="AG27" s="6"/>
    </row>
    <row r="28" spans="1:33" x14ac:dyDescent="0.3">
      <c r="A28" s="168"/>
      <c r="E28" s="8"/>
      <c r="F28" s="87"/>
      <c r="G28" s="6"/>
      <c r="I28" s="50"/>
      <c r="J28" s="50"/>
      <c r="AG28" s="6"/>
    </row>
    <row r="29" spans="1:33" x14ac:dyDescent="0.3">
      <c r="A29" s="169" t="s">
        <v>154</v>
      </c>
      <c r="B29" s="17" cm="1">
        <f t="array" ref="B29">IF(INDEX(Paths!$AB$1:$AB$441,  MATCH(INDEX($A:$A,ROW()),  Paths!$Z$1:$Z$441,0),1)="",0,INDEX(Paths!$AB$1:$AB$441,  MATCH(INDEX($A:$A,ROW()),  Paths!$Z$1:$Z$441,0),1))</f>
        <v>2</v>
      </c>
      <c r="C29" s="17" cm="1">
        <f t="array" ref="C29">IF(INDEX(Paths!$AA$1:$AA$441,   MATCH(INDEX($A:$A,ROW()),  Paths!$Z$1:$Z$441,  0),  1)="",0,INDEX(Paths!$AA$1:$AA$441,   MATCH(INDEX($A:$A,ROW()),  Paths!$Z$1:$Z$441,  0),  1))</f>
        <v>8</v>
      </c>
      <c r="D29" s="127" t="str" cm="1">
        <f t="array" ref="D29">"["&amp;IF(INDEX($B:$B,ROW())="",0,INDEX($B:$B,ROW()))&amp;","&amp;IF(INDEX($C:$C,ROW())="",0,INDEX($C:$C,ROW()))&amp;"]"</f>
        <v>[2,8]</v>
      </c>
      <c r="E29" s="97" t="s">
        <v>157</v>
      </c>
      <c r="G29" s="6" t="s">
        <v>156</v>
      </c>
      <c r="H29" s="2" t="s">
        <v>155</v>
      </c>
      <c r="J29" s="51"/>
      <c r="AG29" s="6"/>
    </row>
    <row r="30" spans="1:33" x14ac:dyDescent="0.3">
      <c r="A30" s="169" t="s">
        <v>155</v>
      </c>
      <c r="B30" s="17" cm="1">
        <f t="array" ref="B30">IF(INDEX(Paths!$AB$1:$AB$441,  MATCH(INDEX($A:$A,ROW()),  Paths!$Z$1:$Z$441,0),1)="",0,INDEX(Paths!$AB$1:$AB$441,  MATCH(INDEX($A:$A,ROW()),  Paths!$Z$1:$Z$441,0),1))</f>
        <v>2</v>
      </c>
      <c r="C30" s="17" cm="1">
        <f t="array" ref="C30">IF(INDEX(Paths!$AA$1:$AA$441,   MATCH(INDEX($A:$A,ROW()),  Paths!$Z$1:$Z$441,  0),  1)="",0,INDEX(Paths!$AA$1:$AA$441,   MATCH(INDEX($A:$A,ROW()),  Paths!$Z$1:$Z$441,  0),  1))</f>
        <v>-8</v>
      </c>
      <c r="D30" s="127" t="str" cm="1">
        <f t="array" ref="D30">"["&amp;IF(INDEX($B:$B,ROW())="",0,INDEX($B:$B,ROW()))&amp;","&amp;IF(INDEX($C:$C,ROW())="",0,INDEX($C:$C,ROW()))&amp;"]"</f>
        <v>[2,-8]</v>
      </c>
      <c r="E30" s="97" t="s">
        <v>157</v>
      </c>
      <c r="G30" s="6" t="s">
        <v>156</v>
      </c>
      <c r="H30" s="2" t="s">
        <v>154</v>
      </c>
      <c r="J30" s="51"/>
    </row>
    <row r="31" spans="1:33" x14ac:dyDescent="0.3">
      <c r="A31" s="169"/>
      <c r="E31" s="97"/>
      <c r="G31" s="6"/>
      <c r="J31" s="51"/>
    </row>
    <row r="32" spans="1:33" x14ac:dyDescent="0.3">
      <c r="A32" s="169" t="s">
        <v>85</v>
      </c>
      <c r="B32" s="17" cm="1">
        <f t="array" ref="B32">IF(INDEX(Paths!$AB$1:$AB$441,  MATCH(INDEX($A:$A,ROW()),  Paths!$Z$1:$Z$441,0),1)="",0,INDEX(Paths!$AB$1:$AB$441,  MATCH(INDEX($A:$A,ROW()),  Paths!$Z$1:$Z$441,0),1))</f>
        <v>-10</v>
      </c>
      <c r="C32" s="17" cm="1">
        <f t="array" ref="C32">IF(INDEX(Paths!$AA$1:$AA$441,   MATCH(INDEX($A:$A,ROW()),  Paths!$Z$1:$Z$441,  0),  1)="",0,INDEX(Paths!$AA$1:$AA$441,   MATCH(INDEX($A:$A,ROW()),  Paths!$Z$1:$Z$441,  0),  1))</f>
        <v>-10</v>
      </c>
      <c r="D32" s="127" t="str" cm="1">
        <f t="array" ref="D32">"["&amp;IF(INDEX($B:$B,ROW())="",0,INDEX($B:$B,ROW()))&amp;","&amp;IF(INDEX($C:$C,ROW())="",0,INDEX($C:$C,ROW()))&amp;"]"</f>
        <v>[-10,-10]</v>
      </c>
      <c r="J32" s="51"/>
    </row>
    <row r="33" spans="1:33" x14ac:dyDescent="0.3">
      <c r="A33" s="169" t="s">
        <v>84</v>
      </c>
      <c r="B33" s="17" cm="1">
        <f t="array" ref="B33">IF(INDEX(Paths!$AB$1:$AB$441,  MATCH(INDEX($A:$A,ROW()),  Paths!$Z$1:$Z$441,0),1)="",0,INDEX(Paths!$AB$1:$AB$441,  MATCH(INDEX($A:$A,ROW()),  Paths!$Z$1:$Z$441,0),1))</f>
        <v>10</v>
      </c>
      <c r="C33" s="17" cm="1">
        <f t="array" ref="C33">IF(INDEX(Paths!$AA$1:$AA$441,   MATCH(INDEX($A:$A,ROW()),  Paths!$Z$1:$Z$441,  0),  1)="",0,INDEX(Paths!$AA$1:$AA$441,   MATCH(INDEX($A:$A,ROW()),  Paths!$Z$1:$Z$441,  0),  1))</f>
        <v>-10</v>
      </c>
      <c r="D33" s="127" t="str" cm="1">
        <f t="array" ref="D33">"["&amp;IF(INDEX($B:$B,ROW())="",0,INDEX($B:$B,ROW()))&amp;","&amp;IF(INDEX($C:$C,ROW())="",0,INDEX($C:$C,ROW()))&amp;"]"</f>
        <v>[10,-10]</v>
      </c>
      <c r="J33" s="51"/>
      <c r="K33" s="135"/>
    </row>
    <row r="34" spans="1:33" x14ac:dyDescent="0.3">
      <c r="A34" s="169" t="s">
        <v>86</v>
      </c>
      <c r="B34" s="17" cm="1">
        <f t="array" ref="B34">IF(INDEX(Paths!$AB$1:$AB$441,  MATCH(INDEX($A:$A,ROW()),  Paths!$Z$1:$Z$441,0),1)="",0,INDEX(Paths!$AB$1:$AB$441,  MATCH(INDEX($A:$A,ROW()),  Paths!$Z$1:$Z$441,0),1))</f>
        <v>10</v>
      </c>
      <c r="C34" s="17" cm="1">
        <f t="array" ref="C34">IF(INDEX(Paths!$AA$1:$AA$441,   MATCH(INDEX($A:$A,ROW()),  Paths!$Z$1:$Z$441,  0),  1)="",0,INDEX(Paths!$AA$1:$AA$441,   MATCH(INDEX($A:$A,ROW()),  Paths!$Z$1:$Z$441,  0),  1))</f>
        <v>10</v>
      </c>
      <c r="D34" s="127" t="str" cm="1">
        <f t="array" ref="D34">"["&amp;IF(INDEX($B:$B,ROW())="",0,INDEX($B:$B,ROW()))&amp;","&amp;IF(INDEX($C:$C,ROW())="",0,INDEX($C:$C,ROW()))&amp;"]"</f>
        <v>[10,10]</v>
      </c>
      <c r="J34" s="51"/>
      <c r="K34" s="135"/>
    </row>
    <row r="35" spans="1:33" x14ac:dyDescent="0.3">
      <c r="A35" s="177" t="s">
        <v>87</v>
      </c>
      <c r="B35" s="178" cm="1">
        <f t="array" ref="B35">IF(INDEX(Paths!$AB$1:$AB$441,  MATCH(INDEX($A:$A,ROW()),  Paths!$Z$1:$Z$441,0),1)="",0,INDEX(Paths!$AB$1:$AB$441,  MATCH(INDEX($A:$A,ROW()),  Paths!$Z$1:$Z$441,0),1))</f>
        <v>-10</v>
      </c>
      <c r="C35" s="178" cm="1">
        <f t="array" ref="C35">IF(INDEX(Paths!$AA$1:$AA$441,   MATCH(INDEX($A:$A,ROW()),  Paths!$Z$1:$Z$441,  0),  1)="",0,INDEX(Paths!$AA$1:$AA$441,   MATCH(INDEX($A:$A,ROW()),  Paths!$Z$1:$Z$441,  0),  1))</f>
        <v>10</v>
      </c>
      <c r="D35" s="179" t="str" cm="1">
        <f t="array" ref="D35">"["&amp;IF(INDEX($B:$B,ROW())="",0,INDEX($B:$B,ROW()))&amp;","&amp;IF(INDEX($C:$C,ROW())="",0,INDEX($C:$C,ROW()))&amp;"]"</f>
        <v>[-10,10]</v>
      </c>
      <c r="E35" s="180"/>
      <c r="F35" s="180"/>
      <c r="G35" s="180"/>
      <c r="H35" s="180"/>
      <c r="I35" s="181"/>
      <c r="J35" s="181"/>
      <c r="K35" s="136"/>
    </row>
    <row r="36" spans="1:33" x14ac:dyDescent="0.3">
      <c r="A36" s="177"/>
      <c r="B36" s="178" cm="1">
        <f t="array" ref="B36">IF(INDEX(Paths!$AB$1:$AB$441,  MATCH(INDEX($A:$A,ROW()),  Paths!$Z$1:$Z$441,0),1)="",0,INDEX(Paths!$AB$1:$AB$441,  MATCH(INDEX($A:$A,ROW()),  Paths!$Z$1:$Z$441,0),1))</f>
        <v>-9</v>
      </c>
      <c r="C36" s="178" cm="1">
        <f t="array" ref="C36">IF(INDEX(Paths!$AA$1:$AA$441,   MATCH(INDEX($A:$A,ROW()),  Paths!$Z$1:$Z$441,  0),  1)="",0,INDEX(Paths!$AA$1:$AA$441,   MATCH(INDEX($A:$A,ROW()),  Paths!$Z$1:$Z$441,  0),  1))</f>
        <v>-10</v>
      </c>
      <c r="D36" s="179" t="str" cm="1">
        <f t="array" ref="D36">"["&amp;IF(INDEX($B:$B,ROW())="",0,INDEX($B:$B,ROW()))&amp;","&amp;IF(INDEX($C:$C,ROW())="",0,INDEX($C:$C,ROW()))&amp;"]"</f>
        <v>[-9,-10]</v>
      </c>
      <c r="E36" s="180"/>
      <c r="F36" s="180"/>
      <c r="G36" s="180"/>
      <c r="H36" s="180"/>
      <c r="I36" s="181"/>
      <c r="J36" s="181"/>
      <c r="K36" s="136"/>
    </row>
    <row r="37" spans="1:33" x14ac:dyDescent="0.3">
      <c r="A37" s="130"/>
    </row>
    <row r="38" spans="1:33" x14ac:dyDescent="0.3">
      <c r="A38" s="130"/>
    </row>
    <row r="39" spans="1:33" x14ac:dyDescent="0.3">
      <c r="A39" s="130"/>
    </row>
    <row r="40" spans="1:33" x14ac:dyDescent="0.3">
      <c r="A40" s="130"/>
    </row>
    <row r="41" spans="1:33" x14ac:dyDescent="0.3">
      <c r="A41" s="130"/>
    </row>
    <row r="42" spans="1:33" x14ac:dyDescent="0.3">
      <c r="A42" s="130"/>
    </row>
    <row r="43" spans="1:33" x14ac:dyDescent="0.3">
      <c r="A43" s="130"/>
    </row>
    <row r="44" spans="1:33" x14ac:dyDescent="0.3">
      <c r="A44" s="130"/>
    </row>
    <row r="45" spans="1:33" x14ac:dyDescent="0.3">
      <c r="A45" s="130"/>
    </row>
    <row r="46" spans="1:33" x14ac:dyDescent="0.3">
      <c r="AG46" s="6"/>
    </row>
    <row r="47" spans="1:33" x14ac:dyDescent="0.3">
      <c r="AG47" s="6"/>
    </row>
  </sheetData>
  <phoneticPr fontId="6" type="noConversion"/>
  <conditionalFormatting sqref="A48:A1048576 A1:A45">
    <cfRule type="duplicateValues" dxfId="36" priority="40"/>
  </conditionalFormatting>
  <conditionalFormatting sqref="A48:A1048576 A1:A35">
    <cfRule type="duplicateValues" dxfId="35" priority="51"/>
  </conditionalFormatting>
  <conditionalFormatting sqref="A3:D1048576 A1:A2 E1:J1048576 D1 B2:D2">
    <cfRule type="expression" dxfId="34" priority="6">
      <formula>INDEX($A:$A,ROW())=0</formula>
    </cfRule>
  </conditionalFormatting>
  <conditionalFormatting sqref="B2:C1048576">
    <cfRule type="cellIs" dxfId="33" priority="1" operator="lessThan">
      <formula>-10</formula>
    </cfRule>
    <cfRule type="cellIs" dxfId="32" priority="2" operator="greaterThan">
      <formula>10</formula>
    </cfRule>
  </conditionalFormatting>
  <dataValidations xWindow="212" yWindow="705" count="3">
    <dataValidation allowBlank="1" showInputMessage="1" showErrorMessage="1" promptTitle="Introduce your spot here!" prompt="Please give a unique name" sqref="A1:A1048576" xr:uid="{92D763B2-9D8E-46B6-B7B4-61B51FF9596C}"/>
    <dataValidation allowBlank="1" showInputMessage="1" showErrorMessage="1" prompt="-10 &lt; X &lt;10" sqref="B48:B1048576 B1:B45" xr:uid="{AD179FF4-71FD-472A-9D4C-7CAEC0954F9A}"/>
    <dataValidation allowBlank="1" showInputMessage="1" showErrorMessage="1" prompt="-10&lt;Y&lt;10" sqref="C1:C1048576" xr:uid="{E176941B-A36B-401F-8DCB-2E2D47D8667B}"/>
  </dataValidations>
  <hyperlinks>
    <hyperlink ref="F3" r:id="rId1" xr:uid="{4DC2361F-DE03-46E0-8CD1-81E20022DD2B}"/>
    <hyperlink ref="F4" r:id="rId2" xr:uid="{BBE89E47-87BD-492E-8A51-5F9E7C130124}"/>
    <hyperlink ref="F5" r:id="rId3" xr:uid="{A14A32AE-E536-44F9-A073-7950B4F5F287}"/>
    <hyperlink ref="F6" r:id="rId4" xr:uid="{CBFE0981-3467-4EE8-845B-EA368656C1EE}"/>
    <hyperlink ref="F8" r:id="rId5" xr:uid="{585BB77C-A36D-40FE-90E5-0109C369F461}"/>
    <hyperlink ref="F9" r:id="rId6" xr:uid="{42CB49F6-B2CB-4F25-94C4-53C447539B4F}"/>
    <hyperlink ref="F10" r:id="rId7" xr:uid="{C0F8D6BD-09E2-4ED6-8DF1-18037C82DFF5}"/>
    <hyperlink ref="F11" r:id="rId8" xr:uid="{0FD421E2-2B23-4288-9105-44DA1C482A1B}"/>
    <hyperlink ref="F12" r:id="rId9" xr:uid="{EAC04F64-83D4-41F2-88AA-C671F53A4EAF}"/>
    <hyperlink ref="F13" r:id="rId10" xr:uid="{086DFC3F-8F32-4651-8C71-1B622200FD84}"/>
    <hyperlink ref="F15" r:id="rId11" xr:uid="{1E1EFCE5-2A8A-4946-A7DD-DBA6C0E4B434}"/>
    <hyperlink ref="F16" r:id="rId12" xr:uid="{0AE34B42-1C68-404C-B384-307B8BF9E024}"/>
    <hyperlink ref="F17" r:id="rId13" xr:uid="{DD6E7082-FA77-46EF-B45B-377CF7F8E872}"/>
    <hyperlink ref="F18" r:id="rId14" xr:uid="{968D1032-20F5-46AB-AED5-5CC95E15D655}"/>
    <hyperlink ref="F19" r:id="rId15" xr:uid="{BBC3BA7F-CE9A-4EAD-88CB-610B7D957AAC}"/>
    <hyperlink ref="F20" r:id="rId16" xr:uid="{57C1809E-F293-409E-8D63-9493726E8D64}"/>
    <hyperlink ref="F22" r:id="rId17" xr:uid="{1912063F-DF05-4E7C-9CB0-FEC42E6A23E6}"/>
    <hyperlink ref="F23" r:id="rId18" xr:uid="{00DFB90F-7BE3-4734-9738-D2448FB7A746}"/>
    <hyperlink ref="F24" r:id="rId19" xr:uid="{85D3DB53-E61D-4482-9720-A2F5BB6BD550}"/>
    <hyperlink ref="F25" r:id="rId20" xr:uid="{A10F3C18-69AE-45EC-AC92-24A6768DDFA4}"/>
    <hyperlink ref="F26" r:id="rId21" xr:uid="{F3D1B5E5-F323-4B1B-B6AA-44398B413416}"/>
    <hyperlink ref="F27" r:id="rId22" xr:uid="{D5D7F59C-9957-43A6-BA72-C29E692DEC32}"/>
  </hyperlinks>
  <pageMargins left="0.7" right="0.7" top="0.75" bottom="0.75" header="0.3" footer="0.3"/>
  <pageSetup orientation="portrait" r:id="rId23"/>
  <drawing r:id="rId24"/>
  <legacyDrawing r:id="rId25"/>
  <controls>
    <mc:AlternateContent xmlns:mc="http://schemas.openxmlformats.org/markup-compatibility/2006">
      <mc:Choice Requires="x14">
        <control shapeId="2049" r:id="rId26" name="CommandButton1">
          <controlPr defaultSize="0" autoLine="0" autoPict="0" r:id="rId27">
            <anchor moveWithCells="1">
              <from>
                <xdr:col>13</xdr:col>
                <xdr:colOff>320040</xdr:colOff>
                <xdr:row>2</xdr:row>
                <xdr:rowOff>60960</xdr:rowOff>
              </from>
              <to>
                <xdr:col>18</xdr:col>
                <xdr:colOff>617220</xdr:colOff>
                <xdr:row>12</xdr:row>
                <xdr:rowOff>7620</xdr:rowOff>
              </to>
            </anchor>
          </controlPr>
        </control>
      </mc:Choice>
      <mc:Fallback>
        <control shapeId="2049" r:id="rId26" name="CommandButton1"/>
      </mc:Fallback>
    </mc:AlternateContent>
  </controls>
  <tableParts count="1">
    <tablePart r:id="rId2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E680"/>
  <sheetViews>
    <sheetView zoomScale="107" zoomScaleNormal="107" workbookViewId="0">
      <pane xSplit="2" topLeftCell="J1" activePane="topRight" state="frozen"/>
      <selection activeCell="A17" sqref="A17"/>
      <selection pane="topRight"/>
    </sheetView>
  </sheetViews>
  <sheetFormatPr defaultRowHeight="14.4" x14ac:dyDescent="0.3"/>
  <cols>
    <col min="1" max="1" width="12.21875" style="69" customWidth="1"/>
    <col min="2" max="2" width="12.109375" style="69" customWidth="1"/>
    <col min="3" max="4" width="4.6640625" style="105" customWidth="1"/>
    <col min="5" max="5" width="10.44140625" style="106" customWidth="1"/>
    <col min="6" max="6" width="4.6640625" style="120" customWidth="1"/>
    <col min="7" max="7" width="4.6640625" style="121" customWidth="1"/>
    <col min="8" max="8" width="8" style="106" bestFit="1" customWidth="1"/>
    <col min="9" max="9" width="23" style="12" customWidth="1"/>
    <col min="10" max="12" width="8.88671875" style="148"/>
    <col min="13" max="13" width="8.88671875" style="148" customWidth="1"/>
    <col min="14" max="21" width="8.88671875" style="148"/>
    <col min="22" max="22" width="10.5546875" style="148" customWidth="1"/>
    <col min="23" max="23" width="10.21875" style="148" customWidth="1"/>
    <col min="24" max="16384" width="8.88671875" style="148"/>
  </cols>
  <sheetData>
    <row r="1" spans="1:31" x14ac:dyDescent="0.3">
      <c r="A1" s="98" t="s">
        <v>48</v>
      </c>
      <c r="B1" s="98" t="s">
        <v>47</v>
      </c>
      <c r="C1" s="99" t="s">
        <v>80</v>
      </c>
      <c r="D1" s="100" t="s">
        <v>81</v>
      </c>
      <c r="E1" s="101" t="s">
        <v>88</v>
      </c>
      <c r="F1" s="102" t="s">
        <v>82</v>
      </c>
      <c r="G1" s="100" t="s">
        <v>83</v>
      </c>
      <c r="H1" s="101" t="s">
        <v>89</v>
      </c>
      <c r="I1" s="103" t="s">
        <v>4</v>
      </c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</row>
    <row r="2" spans="1:31" x14ac:dyDescent="0.3">
      <c r="A2" s="104" t="s">
        <v>5</v>
      </c>
      <c r="B2" s="104" t="s">
        <v>6</v>
      </c>
      <c r="C2" s="105" cm="1">
        <f t="array" ref="C2">IF(INDEX($A:$A,ROW())="",0,INDEX(Spots!$B:$B,MATCH(INDEX($A:$A,ROW()),Spots!$A:$A,0)))</f>
        <v>0</v>
      </c>
      <c r="D2" s="105" cm="1">
        <f t="array" ref="D2">IF(INDEX($A:$A,ROW())="",0,INDEX(Spots!$C:$C,MATCH(INDEX($A:$A,ROW()),Spots!$A:$A,0)))</f>
        <v>0</v>
      </c>
      <c r="E2" s="106" t="str" cm="1">
        <f t="array" ref="E2">IF(INDEX($A:$A,ROW())="","","["&amp;INDEX(C:C,ROW())&amp;","&amp;INDEX(D:D,ROW())&amp;"]")</f>
        <v>[0,0]</v>
      </c>
      <c r="F2" s="107" cm="1">
        <f t="array" ref="F2">IF(INDEX($B:$B,ROW())="",0,INDEX(Spots!$B:$B,MATCH(INDEX($B:$B,ROW()),Spots!$A:$A,0)))</f>
        <v>1</v>
      </c>
      <c r="G2" s="105" cm="1">
        <f t="array" ref="G2">IF(INDEX($B:$B,ROW())="",0,INDEX(Spots!$C:$C,MATCH(INDEX($B:$B,ROW()),Spots!$A:$A,0)))</f>
        <v>0</v>
      </c>
      <c r="H2" s="106" t="str" cm="1">
        <f t="array" ref="H2">IF(INDEX($B:$B,ROW())="","","["&amp;INDEX(F:F,ROW())&amp;","&amp;INDEX(G:G,ROW())&amp;"]")</f>
        <v>[1,0]</v>
      </c>
      <c r="I2" s="108"/>
      <c r="J2" s="13"/>
      <c r="K2" s="149"/>
      <c r="T2" s="13"/>
      <c r="AD2" s="13"/>
    </row>
    <row r="3" spans="1:31" x14ac:dyDescent="0.3">
      <c r="A3" s="104" t="s">
        <v>6</v>
      </c>
      <c r="B3" s="109" t="s">
        <v>7</v>
      </c>
      <c r="C3" s="105" cm="1">
        <f t="array" ref="C3">IF(INDEX($A:$A,ROW())="",0,INDEX(Spots!$B:$B,MATCH(INDEX($A:$A,ROW()),Spots!$A:$A,0)))</f>
        <v>1</v>
      </c>
      <c r="D3" s="105" cm="1">
        <f t="array" ref="D3">IF(INDEX($A:$A,ROW())="",0,INDEX(Spots!$C:$C,MATCH(INDEX($A:$A,ROW()),Spots!$A:$A,0)))</f>
        <v>0</v>
      </c>
      <c r="E3" s="106" t="str" cm="1">
        <f t="array" ref="E3">IF(INDEX($A:$A,ROW())="","","["&amp;INDEX(C:C,ROW())&amp;","&amp;INDEX(D:D,ROW())&amp;"]")</f>
        <v>[1,0]</v>
      </c>
      <c r="F3" s="107" cm="1">
        <f t="array" ref="F3">IF(INDEX($B:$B,ROW())="",0,INDEX(Spots!$B:$B,MATCH(INDEX($B:$B,ROW()),Spots!$A:$A,0)))</f>
        <v>2</v>
      </c>
      <c r="G3" s="105" cm="1">
        <f t="array" ref="G3">IF(INDEX($B:$B,ROW())="",0,INDEX(Spots!$C:$C,MATCH(INDEX($B:$B,ROW()),Spots!$A:$A,0)))</f>
        <v>0</v>
      </c>
      <c r="H3" s="106" t="str" cm="1">
        <f t="array" ref="H3">IF(INDEX($B:$B,ROW())="","","["&amp;INDEX(F:F,ROW())&amp;","&amp;INDEX(G:G,ROW())&amp;"]")</f>
        <v>[2,0]</v>
      </c>
      <c r="I3" s="108"/>
      <c r="J3" s="13"/>
      <c r="K3" s="13"/>
      <c r="L3" s="13"/>
      <c r="T3" s="13"/>
    </row>
    <row r="4" spans="1:31" x14ac:dyDescent="0.3">
      <c r="A4" s="104" t="s">
        <v>7</v>
      </c>
      <c r="B4" s="109" t="s">
        <v>8</v>
      </c>
      <c r="C4" s="105" cm="1">
        <f t="array" ref="C4">IF(INDEX($A:$A,ROW())="",0,INDEX(Spots!$B:$B,MATCH(INDEX($A:$A,ROW()),Spots!$A:$A,0)))</f>
        <v>2</v>
      </c>
      <c r="D4" s="105" cm="1">
        <f t="array" ref="D4">IF(INDEX($A:$A,ROW())="",0,INDEX(Spots!$C:$C,MATCH(INDEX($A:$A,ROW()),Spots!$A:$A,0)))</f>
        <v>0</v>
      </c>
      <c r="E4" s="106" t="str" cm="1">
        <f t="array" ref="E4">IF(INDEX($A:$A,ROW())="","","["&amp;INDEX(C:C,ROW())&amp;","&amp;INDEX(D:D,ROW())&amp;"]")</f>
        <v>[2,0]</v>
      </c>
      <c r="F4" s="107" cm="1">
        <f t="array" ref="F4">IF(INDEX($B:$B,ROW())="",0,INDEX(Spots!$B:$B,MATCH(INDEX($B:$B,ROW()),Spots!$A:$A,0)))</f>
        <v>3</v>
      </c>
      <c r="G4" s="105" cm="1">
        <f t="array" ref="G4">IF(INDEX($B:$B,ROW())="",0,INDEX(Spots!$C:$C,MATCH(INDEX($B:$B,ROW()),Spots!$A:$A,0)))</f>
        <v>0</v>
      </c>
      <c r="H4" s="106" t="str" cm="1">
        <f t="array" ref="H4">IF(INDEX($B:$B,ROW())="","","["&amp;INDEX(F:F,ROW())&amp;","&amp;INDEX(G:G,ROW())&amp;"]")</f>
        <v>[3,0]</v>
      </c>
      <c r="I4" s="3"/>
      <c r="J4" s="13"/>
      <c r="K4" s="13"/>
      <c r="T4" s="13"/>
      <c r="U4" s="150"/>
      <c r="W4" s="150"/>
    </row>
    <row r="5" spans="1:31" x14ac:dyDescent="0.3">
      <c r="A5" s="104"/>
      <c r="B5" s="109"/>
      <c r="F5" s="107"/>
      <c r="G5" s="105"/>
      <c r="I5" s="3"/>
      <c r="J5" s="13"/>
      <c r="K5" s="13"/>
      <c r="T5" s="13"/>
      <c r="U5" s="150"/>
      <c r="W5" s="150"/>
    </row>
    <row r="6" spans="1:31" x14ac:dyDescent="0.3">
      <c r="A6" s="110" t="s">
        <v>6</v>
      </c>
      <c r="B6" s="110" t="s">
        <v>9</v>
      </c>
      <c r="C6" s="105" cm="1">
        <f t="array" ref="C6">IF(INDEX($A:$A,ROW())="",0,INDEX(Spots!$B:$B,MATCH(INDEX($A:$A,ROW()),Spots!$A:$A,0)))</f>
        <v>1</v>
      </c>
      <c r="D6" s="105" cm="1">
        <f t="array" ref="D6">IF(INDEX($A:$A,ROW())="",0,INDEX(Spots!$C:$C,MATCH(INDEX($A:$A,ROW()),Spots!$A:$A,0)))</f>
        <v>0</v>
      </c>
      <c r="E6" s="106" t="str" cm="1">
        <f t="array" ref="E6">IF(INDEX($A:$A,ROW())="","","["&amp;INDEX(C:C,ROW())&amp;","&amp;INDEX(D:D,ROW())&amp;"]")</f>
        <v>[1,0]</v>
      </c>
      <c r="F6" s="107" cm="1">
        <f t="array" ref="F6">IF(INDEX($B:$B,ROW())="",0,INDEX(Spots!$B:$B,MATCH(INDEX($B:$B,ROW()),Spots!$A:$A,0)))</f>
        <v>1</v>
      </c>
      <c r="G6" s="105" cm="1">
        <f t="array" ref="G6">IF(INDEX($B:$B,ROW())="",0,INDEX(Spots!$C:$C,MATCH(INDEX($B:$B,ROW()),Spots!$A:$A,0)))</f>
        <v>1</v>
      </c>
      <c r="H6" s="106" t="str" cm="1">
        <f t="array" ref="H6">IF(INDEX($B:$B,ROW())="","","["&amp;INDEX(F:F,ROW())&amp;","&amp;INDEX(G:G,ROW())&amp;"]")</f>
        <v>[1,1]</v>
      </c>
      <c r="I6" s="108"/>
      <c r="J6" s="13"/>
      <c r="K6" s="13"/>
      <c r="T6" s="13"/>
      <c r="U6" s="150"/>
      <c r="W6" s="150"/>
    </row>
    <row r="7" spans="1:31" x14ac:dyDescent="0.3">
      <c r="A7" s="110" t="s">
        <v>9</v>
      </c>
      <c r="B7" s="110" t="s">
        <v>11</v>
      </c>
      <c r="C7" s="105" cm="1">
        <f t="array" ref="C7">IF(INDEX($A:$A,ROW())="",0,INDEX(Spots!$B:$B,MATCH(INDEX($A:$A,ROW()),Spots!$A:$A,0)))</f>
        <v>1</v>
      </c>
      <c r="D7" s="105" cm="1">
        <f t="array" ref="D7">IF(INDEX($A:$A,ROW())="",0,INDEX(Spots!$C:$C,MATCH(INDEX($A:$A,ROW()),Spots!$A:$A,0)))</f>
        <v>1</v>
      </c>
      <c r="E7" s="106" t="str" cm="1">
        <f t="array" ref="E7">IF(INDEX($A:$A,ROW())="","","["&amp;INDEX(C:C,ROW())&amp;","&amp;INDEX(D:D,ROW())&amp;"]")</f>
        <v>[1,1]</v>
      </c>
      <c r="F7" s="107" cm="1">
        <f t="array" ref="F7">IF(INDEX($B:$B,ROW())="",0,INDEX(Spots!$B:$B,MATCH(INDEX($B:$B,ROW()),Spots!$A:$A,0)))</f>
        <v>1</v>
      </c>
      <c r="G7" s="105" cm="1">
        <f t="array" ref="G7">IF(INDEX($B:$B,ROW())="",0,INDEX(Spots!$C:$C,MATCH(INDEX($B:$B,ROW()),Spots!$A:$A,0)))</f>
        <v>2</v>
      </c>
      <c r="H7" s="106" t="str" cm="1">
        <f t="array" ref="H7">IF(INDEX($B:$B,ROW())="","","["&amp;INDEX(F:F,ROW())&amp;","&amp;INDEX(G:G,ROW())&amp;"]")</f>
        <v>[1,2]</v>
      </c>
      <c r="I7" s="108"/>
      <c r="J7" s="13"/>
      <c r="K7" s="13"/>
      <c r="T7" s="13"/>
    </row>
    <row r="8" spans="1:31" x14ac:dyDescent="0.3">
      <c r="A8" s="110" t="s">
        <v>11</v>
      </c>
      <c r="B8" s="110" t="s">
        <v>13</v>
      </c>
      <c r="C8" s="105" cm="1">
        <f t="array" ref="C8">IF(INDEX($A:$A,ROW())="",0,INDEX(Spots!$B:$B,MATCH(INDEX($A:$A,ROW()),Spots!$A:$A,0)))</f>
        <v>1</v>
      </c>
      <c r="D8" s="105" cm="1">
        <f t="array" ref="D8">IF(INDEX($A:$A,ROW())="",0,INDEX(Spots!$C:$C,MATCH(INDEX($A:$A,ROW()),Spots!$A:$A,0)))</f>
        <v>2</v>
      </c>
      <c r="E8" s="106" t="str" cm="1">
        <f t="array" ref="E8">IF(INDEX($A:$A,ROW())="","","["&amp;INDEX(C:C,ROW())&amp;","&amp;INDEX(D:D,ROW())&amp;"]")</f>
        <v>[1,2]</v>
      </c>
      <c r="F8" s="107" cm="1">
        <f t="array" ref="F8">IF(INDEX($B:$B,ROW())="",0,INDEX(Spots!$B:$B,MATCH(INDEX($B:$B,ROW()),Spots!$A:$A,0)))</f>
        <v>1</v>
      </c>
      <c r="G8" s="105" cm="1">
        <f t="array" ref="G8">IF(INDEX($B:$B,ROW())="",0,INDEX(Spots!$C:$C,MATCH(INDEX($B:$B,ROW()),Spots!$A:$A,0)))</f>
        <v>3</v>
      </c>
      <c r="H8" s="106" t="str" cm="1">
        <f t="array" ref="H8">IF(INDEX($B:$B,ROW())="","","["&amp;INDEX(F:F,ROW())&amp;","&amp;INDEX(G:G,ROW())&amp;"]")</f>
        <v>[1,3]</v>
      </c>
      <c r="J8" s="13"/>
      <c r="K8" s="13"/>
      <c r="T8" s="13"/>
    </row>
    <row r="9" spans="1:31" x14ac:dyDescent="0.3">
      <c r="A9" s="110" t="s">
        <v>13</v>
      </c>
      <c r="B9" s="110" t="s">
        <v>15</v>
      </c>
      <c r="C9" s="105" cm="1">
        <f t="array" ref="C9">IF(INDEX($A:$A,ROW())="",0,INDEX(Spots!$B:$B,MATCH(INDEX($A:$A,ROW()),Spots!$A:$A,0)))</f>
        <v>1</v>
      </c>
      <c r="D9" s="105" cm="1">
        <f t="array" ref="D9">IF(INDEX($A:$A,ROW())="",0,INDEX(Spots!$C:$C,MATCH(INDEX($A:$A,ROW()),Spots!$A:$A,0)))</f>
        <v>3</v>
      </c>
      <c r="E9" s="106" t="str" cm="1">
        <f t="array" ref="E9">IF(INDEX($A:$A,ROW())="","","["&amp;INDEX(C:C,ROW())&amp;","&amp;INDEX(D:D,ROW())&amp;"]")</f>
        <v>[1,3]</v>
      </c>
      <c r="F9" s="107" cm="1">
        <f t="array" ref="F9">IF(INDEX($B:$B,ROW())="",0,INDEX(Spots!$B:$B,MATCH(INDEX($B:$B,ROW()),Spots!$A:$A,0)))</f>
        <v>1</v>
      </c>
      <c r="G9" s="105" cm="1">
        <f t="array" ref="G9">IF(INDEX($B:$B,ROW())="",0,INDEX(Spots!$C:$C,MATCH(INDEX($B:$B,ROW()),Spots!$A:$A,0)))</f>
        <v>4</v>
      </c>
      <c r="H9" s="106" t="str" cm="1">
        <f t="array" ref="H9">IF(INDEX($B:$B,ROW())="","","["&amp;INDEX(F:F,ROW())&amp;","&amp;INDEX(G:G,ROW())&amp;"]")</f>
        <v>[1,4]</v>
      </c>
      <c r="J9" s="13"/>
      <c r="K9" s="13"/>
      <c r="T9" s="13"/>
    </row>
    <row r="10" spans="1:31" x14ac:dyDescent="0.3">
      <c r="A10" s="110" t="s">
        <v>15</v>
      </c>
      <c r="B10" s="110" t="s">
        <v>17</v>
      </c>
      <c r="C10" s="105" cm="1">
        <f t="array" ref="C10">IF(INDEX($A:$A,ROW())="",0,INDEX(Spots!$B:$B,MATCH(INDEX($A:$A,ROW()),Spots!$A:$A,0)))</f>
        <v>1</v>
      </c>
      <c r="D10" s="105" cm="1">
        <f t="array" ref="D10">IF(INDEX($A:$A,ROW())="",0,INDEX(Spots!$C:$C,MATCH(INDEX($A:$A,ROW()),Spots!$A:$A,0)))</f>
        <v>4</v>
      </c>
      <c r="E10" s="106" t="str" cm="1">
        <f t="array" ref="E10">IF(INDEX($A:$A,ROW())="","","["&amp;INDEX(C:C,ROW())&amp;","&amp;INDEX(D:D,ROW())&amp;"]")</f>
        <v>[1,4]</v>
      </c>
      <c r="F10" s="107" cm="1">
        <f t="array" ref="F10">IF(INDEX($B:$B,ROW())="",0,INDEX(Spots!$B:$B,MATCH(INDEX($B:$B,ROW()),Spots!$A:$A,0)))</f>
        <v>1</v>
      </c>
      <c r="G10" s="105" cm="1">
        <f t="array" ref="G10">IF(INDEX($B:$B,ROW())="",0,INDEX(Spots!$C:$C,MATCH(INDEX($B:$B,ROW()),Spots!$A:$A,0)))</f>
        <v>5</v>
      </c>
      <c r="H10" s="106" t="str" cm="1">
        <f t="array" ref="H10">IF(INDEX($B:$B,ROW())="","","["&amp;INDEX(F:F,ROW())&amp;","&amp;INDEX(G:G,ROW())&amp;"]")</f>
        <v>[1,5]</v>
      </c>
      <c r="I10" s="3"/>
      <c r="J10" s="13"/>
      <c r="K10" s="13"/>
      <c r="N10" s="150"/>
      <c r="T10" s="13"/>
    </row>
    <row r="11" spans="1:31" x14ac:dyDescent="0.3">
      <c r="A11" s="110" t="s">
        <v>17</v>
      </c>
      <c r="B11" s="110" t="s">
        <v>19</v>
      </c>
      <c r="C11" s="105" cm="1">
        <f t="array" ref="C11">IF(INDEX($A:$A,ROW())="",0,INDEX(Spots!$B:$B,MATCH(INDEX($A:$A,ROW()),Spots!$A:$A,0)))</f>
        <v>1</v>
      </c>
      <c r="D11" s="105" cm="1">
        <f t="array" ref="D11">IF(INDEX($A:$A,ROW())="",0,INDEX(Spots!$C:$C,MATCH(INDEX($A:$A,ROW()),Spots!$A:$A,0)))</f>
        <v>5</v>
      </c>
      <c r="E11" s="106" t="str" cm="1">
        <f t="array" ref="E11">IF(INDEX($A:$A,ROW())="","","["&amp;INDEX(C:C,ROW())&amp;","&amp;INDEX(D:D,ROW())&amp;"]")</f>
        <v>[1,5]</v>
      </c>
      <c r="F11" s="107" cm="1">
        <f t="array" ref="F11">IF(INDEX($B:$B,ROW())="",0,INDEX(Spots!$B:$B,MATCH(INDEX($B:$B,ROW()),Spots!$A:$A,0)))</f>
        <v>1</v>
      </c>
      <c r="G11" s="105" cm="1">
        <f t="array" ref="G11">IF(INDEX($B:$B,ROW())="",0,INDEX(Spots!$C:$C,MATCH(INDEX($B:$B,ROW()),Spots!$A:$A,0)))</f>
        <v>6</v>
      </c>
      <c r="H11" s="106" t="str" cm="1">
        <f t="array" ref="H11">IF(INDEX($B:$B,ROW())="","","["&amp;INDEX(F:F,ROW())&amp;","&amp;INDEX(G:G,ROW())&amp;"]")</f>
        <v>[1,6]</v>
      </c>
      <c r="J11" s="13"/>
      <c r="K11" s="13"/>
      <c r="P11" s="150"/>
      <c r="T11" s="13"/>
    </row>
    <row r="12" spans="1:31" x14ac:dyDescent="0.3">
      <c r="A12" s="110"/>
      <c r="B12" s="110"/>
      <c r="F12" s="107"/>
      <c r="G12" s="105"/>
      <c r="J12" s="13"/>
      <c r="K12" s="13"/>
      <c r="P12" s="150"/>
      <c r="T12" s="13"/>
    </row>
    <row r="13" spans="1:31" x14ac:dyDescent="0.3">
      <c r="A13" s="111" t="s">
        <v>7</v>
      </c>
      <c r="B13" s="111" t="s">
        <v>21</v>
      </c>
      <c r="C13" s="105" cm="1">
        <f t="array" ref="C13">IF(INDEX($A:$A,ROW())="",0,INDEX(Spots!$B:$B,MATCH(INDEX($A:$A,ROW()),Spots!$A:$A,0)))</f>
        <v>2</v>
      </c>
      <c r="D13" s="105" cm="1">
        <f t="array" ref="D13">IF(INDEX($A:$A,ROW())="",0,INDEX(Spots!$C:$C,MATCH(INDEX($A:$A,ROW()),Spots!$A:$A,0)))</f>
        <v>0</v>
      </c>
      <c r="E13" s="106" t="str" cm="1">
        <f t="array" ref="E13">IF(INDEX($A:$A,ROW())="","","["&amp;INDEX(C:C,ROW())&amp;","&amp;INDEX(D:D,ROW())&amp;"]")</f>
        <v>[2,0]</v>
      </c>
      <c r="F13" s="107" cm="1">
        <f t="array" ref="F13">IF(INDEX($B:$B,ROW())="",0,INDEX(Spots!$B:$B,MATCH(INDEX($B:$B,ROW()),Spots!$A:$A,0)))</f>
        <v>2</v>
      </c>
      <c r="G13" s="105" cm="1">
        <f t="array" ref="G13">IF(INDEX($B:$B,ROW())="",0,INDEX(Spots!$C:$C,MATCH(INDEX($B:$B,ROW()),Spots!$A:$A,0)))</f>
        <v>-1</v>
      </c>
      <c r="H13" s="106" t="str" cm="1">
        <f t="array" ref="H13">IF(INDEX($B:$B,ROW())="","","["&amp;INDEX(F:F,ROW())&amp;","&amp;INDEX(G:G,ROW())&amp;"]")</f>
        <v>[2,-1]</v>
      </c>
      <c r="J13" s="13"/>
      <c r="K13" s="13"/>
      <c r="M13" s="150"/>
      <c r="T13" s="13"/>
    </row>
    <row r="14" spans="1:31" x14ac:dyDescent="0.3">
      <c r="A14" s="111" t="s">
        <v>21</v>
      </c>
      <c r="B14" s="111" t="s">
        <v>23</v>
      </c>
      <c r="C14" s="105" cm="1">
        <f t="array" ref="C14">IF(INDEX($A:$A,ROW())="",0,INDEX(Spots!$B:$B,MATCH(INDEX($A:$A,ROW()),Spots!$A:$A,0)))</f>
        <v>2</v>
      </c>
      <c r="D14" s="105" cm="1">
        <f t="array" ref="D14">IF(INDEX($A:$A,ROW())="",0,INDEX(Spots!$C:$C,MATCH(INDEX($A:$A,ROW()),Spots!$A:$A,0)))</f>
        <v>-1</v>
      </c>
      <c r="E14" s="106" t="str" cm="1">
        <f t="array" ref="E14">IF(INDEX($A:$A,ROW())="","","["&amp;INDEX(C:C,ROW())&amp;","&amp;INDEX(D:D,ROW())&amp;"]")</f>
        <v>[2,-1]</v>
      </c>
      <c r="F14" s="107" cm="1">
        <f t="array" ref="F14">IF(INDEX($B:$B,ROW())="",0,INDEX(Spots!$B:$B,MATCH(INDEX($B:$B,ROW()),Spots!$A:$A,0)))</f>
        <v>2</v>
      </c>
      <c r="G14" s="105" cm="1">
        <f t="array" ref="G14">IF(INDEX($B:$B,ROW())="",0,INDEX(Spots!$C:$C,MATCH(INDEX($B:$B,ROW()),Spots!$A:$A,0)))</f>
        <v>-2</v>
      </c>
      <c r="H14" s="106" t="str" cm="1">
        <f t="array" ref="H14">IF(INDEX($B:$B,ROW())="","","["&amp;INDEX(F:F,ROW())&amp;","&amp;INDEX(G:G,ROW())&amp;"]")</f>
        <v>[2,-2]</v>
      </c>
      <c r="J14" s="13"/>
      <c r="K14" s="13"/>
      <c r="T14" s="13"/>
    </row>
    <row r="15" spans="1:31" x14ac:dyDescent="0.3">
      <c r="A15" s="111" t="s">
        <v>23</v>
      </c>
      <c r="B15" s="111" t="s">
        <v>25</v>
      </c>
      <c r="C15" s="105" cm="1">
        <f t="array" ref="C15">IF(INDEX($A:$A,ROW())="",0,INDEX(Spots!$B:$B,MATCH(INDEX($A:$A,ROW()),Spots!$A:$A,0)))</f>
        <v>2</v>
      </c>
      <c r="D15" s="105" cm="1">
        <f t="array" ref="D15">IF(INDEX($A:$A,ROW())="",0,INDEX(Spots!$C:$C,MATCH(INDEX($A:$A,ROW()),Spots!$A:$A,0)))</f>
        <v>-2</v>
      </c>
      <c r="E15" s="106" t="str" cm="1">
        <f t="array" ref="E15">IF(INDEX($A:$A,ROW())="","","["&amp;INDEX(C:C,ROW())&amp;","&amp;INDEX(D:D,ROW())&amp;"]")</f>
        <v>[2,-2]</v>
      </c>
      <c r="F15" s="107" cm="1">
        <f t="array" ref="F15">IF(INDEX($B:$B,ROW())="",0,INDEX(Spots!$B:$B,MATCH(INDEX($B:$B,ROW()),Spots!$A:$A,0)))</f>
        <v>2</v>
      </c>
      <c r="G15" s="105" cm="1">
        <f t="array" ref="G15">IF(INDEX($B:$B,ROW())="",0,INDEX(Spots!$C:$C,MATCH(INDEX($B:$B,ROW()),Spots!$A:$A,0)))</f>
        <v>-3</v>
      </c>
      <c r="H15" s="106" t="str" cm="1">
        <f t="array" ref="H15">IF(INDEX($B:$B,ROW())="","","["&amp;INDEX(F:F,ROW())&amp;","&amp;INDEX(G:G,ROW())&amp;"]")</f>
        <v>[2,-3]</v>
      </c>
      <c r="K15" s="13"/>
      <c r="T15" s="13"/>
    </row>
    <row r="16" spans="1:31" x14ac:dyDescent="0.3">
      <c r="A16" s="111" t="s">
        <v>25</v>
      </c>
      <c r="B16" s="111" t="s">
        <v>27</v>
      </c>
      <c r="C16" s="105" cm="1">
        <f t="array" ref="C16">IF(INDEX($A:$A,ROW())="",0,INDEX(Spots!$B:$B,MATCH(INDEX($A:$A,ROW()),Spots!$A:$A,0)))</f>
        <v>2</v>
      </c>
      <c r="D16" s="105" cm="1">
        <f t="array" ref="D16">IF(INDEX($A:$A,ROW())="",0,INDEX(Spots!$C:$C,MATCH(INDEX($A:$A,ROW()),Spots!$A:$A,0)))</f>
        <v>-3</v>
      </c>
      <c r="E16" s="106" t="str" cm="1">
        <f t="array" ref="E16">IF(INDEX($A:$A,ROW())="","","["&amp;INDEX(C:C,ROW())&amp;","&amp;INDEX(D:D,ROW())&amp;"]")</f>
        <v>[2,-3]</v>
      </c>
      <c r="F16" s="107" cm="1">
        <f t="array" ref="F16">IF(INDEX($B:$B,ROW())="",0,INDEX(Spots!$B:$B,MATCH(INDEX($B:$B,ROW()),Spots!$A:$A,0)))</f>
        <v>2</v>
      </c>
      <c r="G16" s="105" cm="1">
        <f t="array" ref="G16">IF(INDEX($B:$B,ROW())="",0,INDEX(Spots!$C:$C,MATCH(INDEX($B:$B,ROW()),Spots!$A:$A,0)))</f>
        <v>-4</v>
      </c>
      <c r="H16" s="106" t="str" cm="1">
        <f t="array" ref="H16">IF(INDEX($B:$B,ROW())="","","["&amp;INDEX(F:F,ROW())&amp;","&amp;INDEX(G:G,ROW())&amp;"]")</f>
        <v>[2,-4]</v>
      </c>
      <c r="J16" s="13"/>
      <c r="K16" s="13"/>
      <c r="T16" s="13"/>
    </row>
    <row r="17" spans="1:30" x14ac:dyDescent="0.3">
      <c r="A17" s="111" t="s">
        <v>27</v>
      </c>
      <c r="B17" s="111" t="s">
        <v>29</v>
      </c>
      <c r="C17" s="105" cm="1">
        <f t="array" ref="C17">IF(INDEX($A:$A,ROW())="",0,INDEX(Spots!$B:$B,MATCH(INDEX($A:$A,ROW()),Spots!$A:$A,0)))</f>
        <v>2</v>
      </c>
      <c r="D17" s="105" cm="1">
        <f t="array" ref="D17">IF(INDEX($A:$A,ROW())="",0,INDEX(Spots!$C:$C,MATCH(INDEX($A:$A,ROW()),Spots!$A:$A,0)))</f>
        <v>-4</v>
      </c>
      <c r="E17" s="106" t="str" cm="1">
        <f t="array" ref="E17">IF(INDEX($A:$A,ROW())="","","["&amp;INDEX(C:C,ROW())&amp;","&amp;INDEX(D:D,ROW())&amp;"]")</f>
        <v>[2,-4]</v>
      </c>
      <c r="F17" s="107" cm="1">
        <f t="array" ref="F17">IF(INDEX($B:$B,ROW())="",0,INDEX(Spots!$B:$B,MATCH(INDEX($B:$B,ROW()),Spots!$A:$A,0)))</f>
        <v>2</v>
      </c>
      <c r="G17" s="105" cm="1">
        <f t="array" ref="G17">IF(INDEX($B:$B,ROW())="",0,INDEX(Spots!$C:$C,MATCH(INDEX($B:$B,ROW()),Spots!$A:$A,0)))</f>
        <v>-5</v>
      </c>
      <c r="H17" s="106" t="str" cm="1">
        <f t="array" ref="H17">IF(INDEX($B:$B,ROW())="","","["&amp;INDEX(F:F,ROW())&amp;","&amp;INDEX(G:G,ROW())&amp;"]")</f>
        <v>[2,-5]</v>
      </c>
      <c r="J17" s="13"/>
      <c r="K17" s="13"/>
      <c r="T17" s="13"/>
    </row>
    <row r="18" spans="1:30" x14ac:dyDescent="0.3">
      <c r="A18" s="111" t="s">
        <v>29</v>
      </c>
      <c r="B18" s="111" t="s">
        <v>31</v>
      </c>
      <c r="C18" s="105" cm="1">
        <f t="array" ref="C18">IF(INDEX($A:$A,ROW())="",0,INDEX(Spots!$B:$B,MATCH(INDEX($A:$A,ROW()),Spots!$A:$A,0)))</f>
        <v>2</v>
      </c>
      <c r="D18" s="105" cm="1">
        <f t="array" ref="D18">IF(INDEX($A:$A,ROW())="",0,INDEX(Spots!$C:$C,MATCH(INDEX($A:$A,ROW()),Spots!$A:$A,0)))</f>
        <v>-5</v>
      </c>
      <c r="E18" s="106" t="str" cm="1">
        <f t="array" ref="E18">IF(INDEX($A:$A,ROW())="","","["&amp;INDEX(C:C,ROW())&amp;","&amp;INDEX(D:D,ROW())&amp;"]")</f>
        <v>[2,-5]</v>
      </c>
      <c r="F18" s="107" cm="1">
        <f t="array" ref="F18">IF(INDEX($B:$B,ROW())="",0,INDEX(Spots!$B:$B,MATCH(INDEX($B:$B,ROW()),Spots!$A:$A,0)))</f>
        <v>2</v>
      </c>
      <c r="G18" s="105" cm="1">
        <f t="array" ref="G18">IF(INDEX($B:$B,ROW())="",0,INDEX(Spots!$C:$C,MATCH(INDEX($B:$B,ROW()),Spots!$A:$A,0)))</f>
        <v>-6</v>
      </c>
      <c r="H18" s="106" t="str" cm="1">
        <f t="array" ref="H18">IF(INDEX($B:$B,ROW())="","","["&amp;INDEX(F:F,ROW())&amp;","&amp;INDEX(G:G,ROW())&amp;"]")</f>
        <v>[2,-6]</v>
      </c>
      <c r="J18" s="13"/>
      <c r="K18" s="13"/>
      <c r="T18" s="13"/>
    </row>
    <row r="19" spans="1:30" x14ac:dyDescent="0.3">
      <c r="A19" s="111"/>
      <c r="B19" s="111"/>
      <c r="F19" s="107"/>
      <c r="G19" s="105"/>
      <c r="J19" s="13"/>
      <c r="K19" s="13"/>
      <c r="T19" s="13"/>
    </row>
    <row r="20" spans="1:30" x14ac:dyDescent="0.3">
      <c r="A20" s="110" t="s">
        <v>8</v>
      </c>
      <c r="B20" s="110" t="s">
        <v>33</v>
      </c>
      <c r="C20" s="105" cm="1">
        <f t="array" ref="C20">IF(INDEX($A:$A,ROW())="",0,INDEX(Spots!$B:$B,MATCH(INDEX($A:$A,ROW()),Spots!$A:$A,0)))</f>
        <v>3</v>
      </c>
      <c r="D20" s="105" cm="1">
        <f t="array" ref="D20">IF(INDEX($A:$A,ROW())="",0,INDEX(Spots!$C:$C,MATCH(INDEX($A:$A,ROW()),Spots!$A:$A,0)))</f>
        <v>0</v>
      </c>
      <c r="E20" s="106" t="str" cm="1">
        <f t="array" ref="E20">IF(INDEX($A:$A,ROW())="","","["&amp;INDEX(C:C,ROW())&amp;","&amp;INDEX(D:D,ROW())&amp;"]")</f>
        <v>[3,0]</v>
      </c>
      <c r="F20" s="107" cm="1">
        <f t="array" ref="F20">IF(INDEX($B:$B,ROW())="",0,INDEX(Spots!$B:$B,MATCH(INDEX($B:$B,ROW()),Spots!$A:$A,0)))</f>
        <v>3</v>
      </c>
      <c r="G20" s="105" cm="1">
        <f t="array" ref="G20">IF(INDEX($B:$B,ROW())="",0,INDEX(Spots!$C:$C,MATCH(INDEX($B:$B,ROW()),Spots!$A:$A,0)))</f>
        <v>1</v>
      </c>
      <c r="H20" s="106" t="str" cm="1">
        <f t="array" ref="H20">IF(INDEX($B:$B,ROW())="","","["&amp;INDEX(F:F,ROW())&amp;","&amp;INDEX(G:G,ROW())&amp;"]")</f>
        <v>[3,1]</v>
      </c>
      <c r="J20" s="13"/>
      <c r="K20" s="13"/>
      <c r="T20" s="13"/>
    </row>
    <row r="21" spans="1:30" x14ac:dyDescent="0.3">
      <c r="A21" s="110" t="s">
        <v>33</v>
      </c>
      <c r="B21" s="110" t="s">
        <v>35</v>
      </c>
      <c r="C21" s="105" cm="1">
        <f t="array" ref="C21">IF(INDEX($A:$A,ROW())="",0,INDEX(Spots!$B:$B,MATCH(INDEX($A:$A,ROW()),Spots!$A:$A,0)))</f>
        <v>3</v>
      </c>
      <c r="D21" s="105" cm="1">
        <f t="array" ref="D21">IF(INDEX($A:$A,ROW())="",0,INDEX(Spots!$C:$C,MATCH(INDEX($A:$A,ROW()),Spots!$A:$A,0)))</f>
        <v>1</v>
      </c>
      <c r="E21" s="106" t="str" cm="1">
        <f t="array" ref="E21">IF(INDEX($A:$A,ROW())="","","["&amp;INDEX(C:C,ROW())&amp;","&amp;INDEX(D:D,ROW())&amp;"]")</f>
        <v>[3,1]</v>
      </c>
      <c r="F21" s="107" cm="1">
        <f t="array" ref="F21">IF(INDEX($B:$B,ROW())="",0,INDEX(Spots!$B:$B,MATCH(INDEX($B:$B,ROW()),Spots!$A:$A,0)))</f>
        <v>3</v>
      </c>
      <c r="G21" s="105" cm="1">
        <f t="array" ref="G21">IF(INDEX($B:$B,ROW())="",0,INDEX(Spots!$C:$C,MATCH(INDEX($B:$B,ROW()),Spots!$A:$A,0)))</f>
        <v>2</v>
      </c>
      <c r="H21" s="106" t="str" cm="1">
        <f t="array" ref="H21">IF(INDEX($B:$B,ROW())="","","["&amp;INDEX(F:F,ROW())&amp;","&amp;INDEX(G:G,ROW())&amp;"]")</f>
        <v>[3,2]</v>
      </c>
      <c r="J21" s="13"/>
      <c r="K21" s="13"/>
      <c r="T21" s="13"/>
      <c r="W21" s="150"/>
    </row>
    <row r="22" spans="1:30" x14ac:dyDescent="0.3">
      <c r="A22" s="110" t="s">
        <v>35</v>
      </c>
      <c r="B22" s="110" t="s">
        <v>38</v>
      </c>
      <c r="C22" s="105" cm="1">
        <f t="array" ref="C22">IF(INDEX($A:$A,ROW())="",0,INDEX(Spots!$B:$B,MATCH(INDEX($A:$A,ROW()),Spots!$A:$A,0)))</f>
        <v>3</v>
      </c>
      <c r="D22" s="105" cm="1">
        <f t="array" ref="D22">IF(INDEX($A:$A,ROW())="",0,INDEX(Spots!$C:$C,MATCH(INDEX($A:$A,ROW()),Spots!$A:$A,0)))</f>
        <v>2</v>
      </c>
      <c r="E22" s="106" t="str" cm="1">
        <f t="array" ref="E22">IF(INDEX($A:$A,ROW())="","","["&amp;INDEX(C:C,ROW())&amp;","&amp;INDEX(D:D,ROW())&amp;"]")</f>
        <v>[3,2]</v>
      </c>
      <c r="F22" s="107" cm="1">
        <f t="array" ref="F22">IF(INDEX($B:$B,ROW())="",0,INDEX(Spots!$B:$B,MATCH(INDEX($B:$B,ROW()),Spots!$A:$A,0)))</f>
        <v>3</v>
      </c>
      <c r="G22" s="105" cm="1">
        <f t="array" ref="G22">IF(INDEX($B:$B,ROW())="",0,INDEX(Spots!$C:$C,MATCH(INDEX($B:$B,ROW()),Spots!$A:$A,0)))</f>
        <v>3</v>
      </c>
      <c r="H22" s="106" t="str" cm="1">
        <f t="array" ref="H22">IF(INDEX($B:$B,ROW())="","","["&amp;INDEX(F:F,ROW())&amp;","&amp;INDEX(G:G,ROW())&amp;"]")</f>
        <v>[3,3]</v>
      </c>
      <c r="J22" s="13"/>
      <c r="K22" s="13"/>
      <c r="T22" s="13"/>
    </row>
    <row r="23" spans="1:30" x14ac:dyDescent="0.3">
      <c r="A23" s="110" t="s">
        <v>38</v>
      </c>
      <c r="B23" s="110" t="s">
        <v>40</v>
      </c>
      <c r="C23" s="105" cm="1">
        <f t="array" ref="C23">IF(INDEX($A:$A,ROW())="",0,INDEX(Spots!$B:$B,MATCH(INDEX($A:$A,ROW()),Spots!$A:$A,0)))</f>
        <v>3</v>
      </c>
      <c r="D23" s="105" cm="1">
        <f t="array" ref="D23">IF(INDEX($A:$A,ROW())="",0,INDEX(Spots!$C:$C,MATCH(INDEX($A:$A,ROW()),Spots!$A:$A,0)))</f>
        <v>3</v>
      </c>
      <c r="E23" s="106" t="str" cm="1">
        <f t="array" ref="E23">IF(INDEX($A:$A,ROW())="","","["&amp;INDEX(C:C,ROW())&amp;","&amp;INDEX(D:D,ROW())&amp;"]")</f>
        <v>[3,3]</v>
      </c>
      <c r="F23" s="107" cm="1">
        <f t="array" ref="F23">IF(INDEX($B:$B,ROW())="",0,INDEX(Spots!$B:$B,MATCH(INDEX($B:$B,ROW()),Spots!$A:$A,0)))</f>
        <v>3</v>
      </c>
      <c r="G23" s="105" cm="1">
        <f t="array" ref="G23">IF(INDEX($B:$B,ROW())="",0,INDEX(Spots!$C:$C,MATCH(INDEX($B:$B,ROW()),Spots!$A:$A,0)))</f>
        <v>4</v>
      </c>
      <c r="H23" s="106" t="str" cm="1">
        <f t="array" ref="H23">IF(INDEX($B:$B,ROW())="","","["&amp;INDEX(F:F,ROW())&amp;","&amp;INDEX(G:G,ROW())&amp;"]")</f>
        <v>[3,4]</v>
      </c>
      <c r="J23" s="13"/>
      <c r="K23" s="13"/>
      <c r="T23" s="13"/>
    </row>
    <row r="24" spans="1:30" x14ac:dyDescent="0.3">
      <c r="A24" s="110" t="s">
        <v>40</v>
      </c>
      <c r="B24" s="110" t="s">
        <v>42</v>
      </c>
      <c r="C24" s="105" cm="1">
        <f t="array" ref="C24">IF(INDEX($A:$A,ROW())="",0,INDEX(Spots!$B:$B,MATCH(INDEX($A:$A,ROW()),Spots!$A:$A,0)))</f>
        <v>3</v>
      </c>
      <c r="D24" s="105" cm="1">
        <f t="array" ref="D24">IF(INDEX($A:$A,ROW())="",0,INDEX(Spots!$C:$C,MATCH(INDEX($A:$A,ROW()),Spots!$A:$A,0)))</f>
        <v>4</v>
      </c>
      <c r="E24" s="106" t="str" cm="1">
        <f t="array" ref="E24">IF(INDEX($A:$A,ROW())="","","["&amp;INDEX(C:C,ROW())&amp;","&amp;INDEX(D:D,ROW())&amp;"]")</f>
        <v>[3,4]</v>
      </c>
      <c r="F24" s="107" cm="1">
        <f t="array" ref="F24">IF(INDEX($B:$B,ROW())="",0,INDEX(Spots!$B:$B,MATCH(INDEX($B:$B,ROW()),Spots!$A:$A,0)))</f>
        <v>3</v>
      </c>
      <c r="G24" s="105" cm="1">
        <f t="array" ref="G24">IF(INDEX($B:$B,ROW())="",0,INDEX(Spots!$C:$C,MATCH(INDEX($B:$B,ROW()),Spots!$A:$A,0)))</f>
        <v>5</v>
      </c>
      <c r="H24" s="106" t="str" cm="1">
        <f t="array" ref="H24">IF(INDEX($B:$B,ROW())="","","["&amp;INDEX(F:F,ROW())&amp;","&amp;INDEX(G:G,ROW())&amp;"]")</f>
        <v>[3,5]</v>
      </c>
      <c r="J24" s="13"/>
      <c r="K24" s="13"/>
      <c r="T24" s="13"/>
    </row>
    <row r="25" spans="1:30" x14ac:dyDescent="0.3">
      <c r="A25" s="110" t="s">
        <v>42</v>
      </c>
      <c r="B25" s="110" t="s">
        <v>44</v>
      </c>
      <c r="C25" s="105" cm="1">
        <f t="array" ref="C25">IF(INDEX($A:$A,ROW())="",0,INDEX(Spots!$B:$B,MATCH(INDEX($A:$A,ROW()),Spots!$A:$A,0)))</f>
        <v>3</v>
      </c>
      <c r="D25" s="105" cm="1">
        <f t="array" ref="D25">IF(INDEX($A:$A,ROW())="",0,INDEX(Spots!$C:$C,MATCH(INDEX($A:$A,ROW()),Spots!$A:$A,0)))</f>
        <v>5</v>
      </c>
      <c r="E25" s="106" t="str" cm="1">
        <f t="array" ref="E25">IF(INDEX($A:$A,ROW())="","","["&amp;INDEX(C:C,ROW())&amp;","&amp;INDEX(D:D,ROW())&amp;"]")</f>
        <v>[3,5]</v>
      </c>
      <c r="F25" s="107" cm="1">
        <f t="array" ref="F25">IF(INDEX($B:$B,ROW())="",0,INDEX(Spots!$B:$B,MATCH(INDEX($B:$B,ROW()),Spots!$A:$A,0)))</f>
        <v>3</v>
      </c>
      <c r="G25" s="105" cm="1">
        <f t="array" ref="G25">IF(INDEX($B:$B,ROW())="",0,INDEX(Spots!$C:$C,MATCH(INDEX($B:$B,ROW()),Spots!$A:$A,0)))</f>
        <v>6</v>
      </c>
      <c r="H25" s="106" t="str" cm="1">
        <f t="array" ref="H25">IF(INDEX($B:$B,ROW())="","","["&amp;INDEX(F:F,ROW())&amp;","&amp;INDEX(G:G,ROW())&amp;"]")</f>
        <v>[3,6]</v>
      </c>
      <c r="J25" s="13"/>
      <c r="K25" s="13"/>
      <c r="T25" s="13"/>
      <c r="AD25" s="13"/>
    </row>
    <row r="26" spans="1:30" s="13" customFormat="1" ht="14.4" customHeight="1" x14ac:dyDescent="0.3">
      <c r="A26" s="110" t="s">
        <v>44</v>
      </c>
      <c r="B26" s="110" t="s">
        <v>19</v>
      </c>
      <c r="C26" s="105" cm="1">
        <f t="array" ref="C26">IF(INDEX($A:$A,ROW())="",0,INDEX(Spots!$B:$B,MATCH(INDEX($A:$A,ROW()),Spots!$A:$A,0)))</f>
        <v>3</v>
      </c>
      <c r="D26" s="105" cm="1">
        <f t="array" ref="D26">IF(INDEX($A:$A,ROW())="",0,INDEX(Spots!$C:$C,MATCH(INDEX($A:$A,ROW()),Spots!$A:$A,0)))</f>
        <v>6</v>
      </c>
      <c r="E26" s="106" t="str" cm="1">
        <f t="array" ref="E26">IF(INDEX($A:$A,ROW())="","","["&amp;INDEX(C:C,ROW())&amp;","&amp;INDEX(D:D,ROW())&amp;"]")</f>
        <v>[3,6]</v>
      </c>
      <c r="F26" s="107" cm="1">
        <f t="array" ref="F26">IF(INDEX($B:$B,ROW())="",0,INDEX(Spots!$B:$B,MATCH(INDEX($B:$B,ROW()),Spots!$A:$A,0)))</f>
        <v>1</v>
      </c>
      <c r="G26" s="105" cm="1">
        <f t="array" ref="G26">IF(INDEX($B:$B,ROW())="",0,INDEX(Spots!$C:$C,MATCH(INDEX($B:$B,ROW()),Spots!$A:$A,0)))</f>
        <v>6</v>
      </c>
      <c r="H26" s="106" t="str" cm="1">
        <f t="array" ref="H26">IF(INDEX($B:$B,ROW())="","","["&amp;INDEX(F:F,ROW())&amp;","&amp;INDEX(G:G,ROW())&amp;"]")</f>
        <v>[1,6]</v>
      </c>
      <c r="I26" s="112" t="s">
        <v>90</v>
      </c>
    </row>
    <row r="27" spans="1:30" s="13" customFormat="1" ht="14.4" customHeight="1" x14ac:dyDescent="0.3">
      <c r="A27" s="110"/>
      <c r="B27" s="110"/>
      <c r="C27" s="105"/>
      <c r="D27" s="105"/>
      <c r="E27" s="106"/>
      <c r="F27" s="107"/>
      <c r="G27" s="105"/>
      <c r="H27" s="106"/>
      <c r="I27" s="146"/>
    </row>
    <row r="28" spans="1:30" x14ac:dyDescent="0.3">
      <c r="A28" s="113" t="s">
        <v>85</v>
      </c>
      <c r="B28" s="113" t="s">
        <v>84</v>
      </c>
      <c r="C28" s="105" cm="1">
        <f t="array" ref="C28">IF(INDEX($A:$A,ROW())="",0,INDEX(Spots!$B:$B,MATCH(INDEX($A:$A,ROW()),Spots!$A:$A,0)))</f>
        <v>-10</v>
      </c>
      <c r="D28" s="105" cm="1">
        <f t="array" ref="D28">IF(INDEX($A:$A,ROW())="",0,INDEX(Spots!$C:$C,MATCH(INDEX($A:$A,ROW()),Spots!$A:$A,0)))</f>
        <v>-10</v>
      </c>
      <c r="E28" s="106" t="str" cm="1">
        <f t="array" ref="E28">IF(INDEX($A:$A,ROW())="","","["&amp;INDEX(C:C,ROW())&amp;","&amp;INDEX(D:D,ROW())&amp;"]")</f>
        <v>[-10,-10]</v>
      </c>
      <c r="F28" s="107" cm="1">
        <f t="array" ref="F28">IF(INDEX($B:$B,ROW())="",0,INDEX(Spots!$B:$B,MATCH(INDEX($B:$B,ROW()),Spots!$A:$A,0)))</f>
        <v>10</v>
      </c>
      <c r="G28" s="105" cm="1">
        <f t="array" ref="G28">IF(INDEX($B:$B,ROW())="",0,INDEX(Spots!$C:$C,MATCH(INDEX($B:$B,ROW()),Spots!$A:$A,0)))</f>
        <v>-10</v>
      </c>
      <c r="H28" s="106" t="str" cm="1">
        <f t="array" ref="H28">IF(INDEX($B:$B,ROW())="","","["&amp;INDEX(F:F,ROW())&amp;","&amp;INDEX(G:G,ROW())&amp;"]")</f>
        <v>[10,-10]</v>
      </c>
    </row>
    <row r="29" spans="1:30" x14ac:dyDescent="0.3">
      <c r="A29" s="113" t="s">
        <v>84</v>
      </c>
      <c r="B29" s="113" t="s">
        <v>86</v>
      </c>
      <c r="C29" s="105" cm="1">
        <f t="array" ref="C29">IF(INDEX($A:$A,ROW())="",0,INDEX(Spots!$B:$B,MATCH(INDEX($A:$A,ROW()),Spots!$A:$A,0)))</f>
        <v>10</v>
      </c>
      <c r="D29" s="105" cm="1">
        <f t="array" ref="D29">IF(INDEX($A:$A,ROW())="",0,INDEX(Spots!$C:$C,MATCH(INDEX($A:$A,ROW()),Spots!$A:$A,0)))</f>
        <v>-10</v>
      </c>
      <c r="E29" s="106" t="str" cm="1">
        <f t="array" ref="E29">IF(INDEX($A:$A,ROW())="","","["&amp;INDEX(C:C,ROW())&amp;","&amp;INDEX(D:D,ROW())&amp;"]")</f>
        <v>[10,-10]</v>
      </c>
      <c r="F29" s="107" cm="1">
        <f t="array" ref="F29">IF(INDEX($B:$B,ROW())="",0,INDEX(Spots!$B:$B,MATCH(INDEX($B:$B,ROW()),Spots!$A:$A,0)))</f>
        <v>10</v>
      </c>
      <c r="G29" s="105" cm="1">
        <f t="array" ref="G29">IF(INDEX($B:$B,ROW())="",0,INDEX(Spots!$C:$C,MATCH(INDEX($B:$B,ROW()),Spots!$A:$A,0)))</f>
        <v>10</v>
      </c>
      <c r="H29" s="106" t="str" cm="1">
        <f t="array" ref="H29">IF(INDEX($B:$B,ROW())="","","["&amp;INDEX(F:F,ROW())&amp;","&amp;INDEX(G:G,ROW())&amp;"]")</f>
        <v>[10,10]</v>
      </c>
    </row>
    <row r="30" spans="1:30" x14ac:dyDescent="0.3">
      <c r="A30" s="113" t="s">
        <v>86</v>
      </c>
      <c r="B30" s="113" t="s">
        <v>87</v>
      </c>
      <c r="C30" s="105" cm="1">
        <f t="array" ref="C30">IF(INDEX($A:$A,ROW())="",0,INDEX(Spots!$B:$B,MATCH(INDEX($A:$A,ROW()),Spots!$A:$A,0)))</f>
        <v>10</v>
      </c>
      <c r="D30" s="105" cm="1">
        <f t="array" ref="D30">IF(INDEX($A:$A,ROW())="",0,INDEX(Spots!$C:$C,MATCH(INDEX($A:$A,ROW()),Spots!$A:$A,0)))</f>
        <v>10</v>
      </c>
      <c r="E30" s="106" t="str" cm="1">
        <f t="array" ref="E30">IF(INDEX($A:$A,ROW())="","","["&amp;INDEX(C:C,ROW())&amp;","&amp;INDEX(D:D,ROW())&amp;"]")</f>
        <v>[10,10]</v>
      </c>
      <c r="F30" s="107" cm="1">
        <f t="array" ref="F30">IF(INDEX($B:$B,ROW())="",0,INDEX(Spots!$B:$B,MATCH(INDEX($B:$B,ROW()),Spots!$A:$A,0)))</f>
        <v>-10</v>
      </c>
      <c r="G30" s="105" cm="1">
        <f t="array" ref="G30">IF(INDEX($B:$B,ROW())="",0,INDEX(Spots!$C:$C,MATCH(INDEX($B:$B,ROW()),Spots!$A:$A,0)))</f>
        <v>10</v>
      </c>
      <c r="H30" s="106" t="str" cm="1">
        <f t="array" ref="H30">IF(INDEX($B:$B,ROW())="","","["&amp;INDEX(F:F,ROW())&amp;","&amp;INDEX(G:G,ROW())&amp;"]")</f>
        <v>[-10,10]</v>
      </c>
    </row>
    <row r="31" spans="1:30" x14ac:dyDescent="0.3">
      <c r="A31" s="113" t="s">
        <v>87</v>
      </c>
      <c r="B31" s="113" t="s">
        <v>85</v>
      </c>
      <c r="C31" s="105" cm="1">
        <f t="array" ref="C31">IF(INDEX($A:$A,ROW())="",0,INDEX(Spots!$B:$B,MATCH(INDEX($A:$A,ROW()),Spots!$A:$A,0)))</f>
        <v>-10</v>
      </c>
      <c r="D31" s="105" cm="1">
        <f t="array" ref="D31">IF(INDEX($A:$A,ROW())="",0,INDEX(Spots!$C:$C,MATCH(INDEX($A:$A,ROW()),Spots!$A:$A,0)))</f>
        <v>10</v>
      </c>
      <c r="E31" s="106" t="str" cm="1">
        <f t="array" ref="E31">IF(INDEX($A:$A,ROW())="","","["&amp;INDEX(C:C,ROW())&amp;","&amp;INDEX(D:D,ROW())&amp;"]")</f>
        <v>[-10,10]</v>
      </c>
      <c r="F31" s="107" cm="1">
        <f t="array" ref="F31">IF(INDEX($B:$B,ROW())="",0,INDEX(Spots!$B:$B,MATCH(INDEX($B:$B,ROW()),Spots!$A:$A,0)))</f>
        <v>-10</v>
      </c>
      <c r="G31" s="105" cm="1">
        <f t="array" ref="G31">IF(INDEX($B:$B,ROW())="",0,INDEX(Spots!$C:$C,MATCH(INDEX($B:$B,ROW()),Spots!$A:$A,0)))</f>
        <v>-10</v>
      </c>
      <c r="H31" s="106" t="str" cm="1">
        <f t="array" ref="H31">IF(INDEX($B:$B,ROW())="","","["&amp;INDEX(F:F,ROW())&amp;","&amp;INDEX(G:G,ROW())&amp;"]")</f>
        <v>[-10,-10]</v>
      </c>
    </row>
    <row r="32" spans="1:30" x14ac:dyDescent="0.3">
      <c r="A32" s="113"/>
      <c r="B32" s="113"/>
      <c r="F32" s="107"/>
      <c r="G32" s="105"/>
    </row>
    <row r="33" spans="1:8" x14ac:dyDescent="0.3">
      <c r="A33" s="114" t="s">
        <v>85</v>
      </c>
      <c r="B33" s="114" t="s">
        <v>85</v>
      </c>
      <c r="C33" s="105" cm="1">
        <f t="array" ref="C33">IF(INDEX($A:$A,ROW())="",0,INDEX(Spots!$B:$B,MATCH(INDEX($A:$A,ROW()),Spots!$A:$A,0)))</f>
        <v>-10</v>
      </c>
      <c r="D33" s="105" cm="1">
        <f t="array" ref="D33">IF(INDEX($A:$A,ROW())="",0,INDEX(Spots!$C:$C,MATCH(INDEX($A:$A,ROW()),Spots!$A:$A,0)))</f>
        <v>-10</v>
      </c>
      <c r="E33" s="106" t="str" cm="1">
        <f t="array" ref="E33">IF(INDEX($A:$A,ROW())="","","["&amp;INDEX(C:C,ROW())&amp;","&amp;INDEX(D:D,ROW())&amp;"]")</f>
        <v>[-10,-10]</v>
      </c>
      <c r="F33" s="107" cm="1">
        <f t="array" ref="F33">IF(INDEX($B:$B,ROW())="",0,INDEX(Spots!$B:$B,MATCH(INDEX($B:$B,ROW()),Spots!$A:$A,0)))</f>
        <v>-10</v>
      </c>
      <c r="G33" s="105" cm="1">
        <f t="array" ref="G33">IF(INDEX($B:$B,ROW())="",0,INDEX(Spots!$C:$C,MATCH(INDEX($B:$B,ROW()),Spots!$A:$A,0)))</f>
        <v>-10</v>
      </c>
      <c r="H33" s="106" t="str" cm="1">
        <f t="array" ref="H33">IF(INDEX($B:$B,ROW())="","","["&amp;INDEX(F:F,ROW())&amp;","&amp;INDEX(G:G,ROW())&amp;"]")</f>
        <v>[-10,-10]</v>
      </c>
    </row>
    <row r="34" spans="1:8" x14ac:dyDescent="0.3">
      <c r="A34" s="114" t="s">
        <v>85</v>
      </c>
      <c r="B34" s="114" t="s">
        <v>85</v>
      </c>
      <c r="C34" s="105" cm="1">
        <f t="array" ref="C34">IF(INDEX($A:$A,ROW())="",0,INDEX(Spots!$B:$B,MATCH(INDEX($A:$A,ROW()),Spots!$A:$A,0)))</f>
        <v>-10</v>
      </c>
      <c r="D34" s="105" cm="1">
        <f t="array" ref="D34">IF(INDEX($A:$A,ROW())="",0,INDEX(Spots!$C:$C,MATCH(INDEX($A:$A,ROW()),Spots!$A:$A,0)))</f>
        <v>-10</v>
      </c>
      <c r="E34" s="106" t="str" cm="1">
        <f t="array" ref="E34">IF(INDEX($A:$A,ROW())="","","["&amp;INDEX(C:C,ROW())&amp;","&amp;INDEX(D:D,ROW())&amp;"]")</f>
        <v>[-10,-10]</v>
      </c>
      <c r="F34" s="107" cm="1">
        <f t="array" ref="F34">IF(INDEX($B:$B,ROW())="",0,INDEX(Spots!$B:$B,MATCH(INDEX($B:$B,ROW()),Spots!$A:$A,0)))</f>
        <v>-10</v>
      </c>
      <c r="G34" s="105" cm="1">
        <f t="array" ref="G34">IF(INDEX($B:$B,ROW())="",0,INDEX(Spots!$C:$C,MATCH(INDEX($B:$B,ROW()),Spots!$A:$A,0)))</f>
        <v>-10</v>
      </c>
      <c r="H34" s="106" t="str" cm="1">
        <f t="array" ref="H34">IF(INDEX($B:$B,ROW())="","","["&amp;INDEX(F:F,ROW())&amp;","&amp;INDEX(G:G,ROW())&amp;"]")</f>
        <v>[-10,-10]</v>
      </c>
    </row>
    <row r="35" spans="1:8" x14ac:dyDescent="0.3">
      <c r="A35" s="114" t="s">
        <v>85</v>
      </c>
      <c r="B35" s="114" t="s">
        <v>85</v>
      </c>
      <c r="C35" s="105" cm="1">
        <f t="array" ref="C35">IF(INDEX($A:$A,ROW())="",0,INDEX(Spots!$B:$B,MATCH(INDEX($A:$A,ROW()),Spots!$A:$A,0)))</f>
        <v>-10</v>
      </c>
      <c r="D35" s="105" cm="1">
        <f t="array" ref="D35">IF(INDEX($A:$A,ROW())="",0,INDEX(Spots!$C:$C,MATCH(INDEX($A:$A,ROW()),Spots!$A:$A,0)))</f>
        <v>-10</v>
      </c>
      <c r="E35" s="106" t="str" cm="1">
        <f t="array" ref="E35">IF(INDEX($A:$A,ROW())="","","["&amp;INDEX(C:C,ROW())&amp;","&amp;INDEX(D:D,ROW())&amp;"]")</f>
        <v>[-10,-10]</v>
      </c>
      <c r="F35" s="107" cm="1">
        <f t="array" ref="F35">IF(INDEX($B:$B,ROW())="",0,INDEX(Spots!$B:$B,MATCH(INDEX($B:$B,ROW()),Spots!$A:$A,0)))</f>
        <v>-10</v>
      </c>
      <c r="G35" s="105" cm="1">
        <f t="array" ref="G35">IF(INDEX($B:$B,ROW())="",0,INDEX(Spots!$C:$C,MATCH(INDEX($B:$B,ROW()),Spots!$A:$A,0)))</f>
        <v>-10</v>
      </c>
      <c r="H35" s="106" t="str" cm="1">
        <f t="array" ref="H35">IF(INDEX($B:$B,ROW())="","","["&amp;INDEX(F:F,ROW())&amp;","&amp;INDEX(G:G,ROW())&amp;"]")</f>
        <v>[-10,-10]</v>
      </c>
    </row>
    <row r="36" spans="1:8" x14ac:dyDescent="0.3">
      <c r="A36" s="114" t="s">
        <v>85</v>
      </c>
      <c r="B36" s="114" t="s">
        <v>85</v>
      </c>
      <c r="C36" s="105" cm="1">
        <f t="array" ref="C36">IF(INDEX($A:$A,ROW())="",0,INDEX(Spots!$B:$B,MATCH(INDEX($A:$A,ROW()),Spots!$A:$A,0)))</f>
        <v>-10</v>
      </c>
      <c r="D36" s="105" cm="1">
        <f t="array" ref="D36">IF(INDEX($A:$A,ROW())="",0,INDEX(Spots!$C:$C,MATCH(INDEX($A:$A,ROW()),Spots!$A:$A,0)))</f>
        <v>-10</v>
      </c>
      <c r="E36" s="106" t="str" cm="1">
        <f t="array" ref="E36">IF(INDEX($A:$A,ROW())="","","["&amp;INDEX(C:C,ROW())&amp;","&amp;INDEX(D:D,ROW())&amp;"]")</f>
        <v>[-10,-10]</v>
      </c>
      <c r="F36" s="107" cm="1">
        <f t="array" ref="F36">IF(INDEX($B:$B,ROW())="",0,INDEX(Spots!$B:$B,MATCH(INDEX($B:$B,ROW()),Spots!$A:$A,0)))</f>
        <v>-10</v>
      </c>
      <c r="G36" s="105" cm="1">
        <f t="array" ref="G36">IF(INDEX($B:$B,ROW())="",0,INDEX(Spots!$C:$C,MATCH(INDEX($B:$B,ROW()),Spots!$A:$A,0)))</f>
        <v>-10</v>
      </c>
      <c r="H36" s="106" t="str" cm="1">
        <f t="array" ref="H36">IF(INDEX($B:$B,ROW())="","","["&amp;INDEX(F:F,ROW())&amp;","&amp;INDEX(G:G,ROW())&amp;"]")</f>
        <v>[-10,-10]</v>
      </c>
    </row>
    <row r="37" spans="1:8" x14ac:dyDescent="0.3">
      <c r="A37" s="114"/>
      <c r="B37" s="114"/>
      <c r="C37" s="105" cm="1">
        <f t="array" ref="C37">IF(INDEX($A:$A,ROW())="",0,INDEX(Spots!$B:$B,MATCH(INDEX($A:$A,ROW()),Spots!$A:$A,0)))</f>
        <v>0</v>
      </c>
      <c r="D37" s="105" cm="1">
        <f t="array" ref="D37">IF(INDEX($A:$A,ROW())="",0,INDEX(Spots!$C:$C,MATCH(INDEX($A:$A,ROW()),Spots!$A:$A,0)))</f>
        <v>0</v>
      </c>
      <c r="F37" s="107" cm="1">
        <f t="array" ref="F37">IF(INDEX($B:$B,ROW())="",0,INDEX(Spots!$B:$B,MATCH(INDEX($B:$B,ROW()),Spots!$A:$A,0)))</f>
        <v>0</v>
      </c>
      <c r="G37" s="105" cm="1">
        <f t="array" ref="G37">IF(INDEX($B:$B,ROW())="",0,INDEX(Spots!$C:$C,MATCH(INDEX($B:$B,ROW()),Spots!$A:$A,0)))</f>
        <v>0</v>
      </c>
    </row>
    <row r="38" spans="1:8" x14ac:dyDescent="0.3">
      <c r="A38" s="114"/>
      <c r="B38" s="114"/>
      <c r="C38" s="105" cm="1">
        <f t="array" ref="C38">IF(INDEX($A:$A,ROW())="",0,INDEX(Spots!$B:$B,MATCH(INDEX($A:$A,ROW()),Spots!$A:$A,0)))</f>
        <v>0</v>
      </c>
      <c r="D38" s="105" cm="1">
        <f t="array" ref="D38">IF(INDEX($A:$A,ROW())="",0,INDEX(Spots!$C:$C,MATCH(INDEX($A:$A,ROW()),Spots!$A:$A,0)))</f>
        <v>0</v>
      </c>
      <c r="F38" s="107" cm="1">
        <f t="array" ref="F38">IF(INDEX($B:$B,ROW())="",0,INDEX(Spots!$B:$B,MATCH(INDEX($B:$B,ROW()),Spots!$A:$A,0)))</f>
        <v>0</v>
      </c>
      <c r="G38" s="105" cm="1">
        <f t="array" ref="G38">IF(INDEX($B:$B,ROW())="",0,INDEX(Spots!$C:$C,MATCH(INDEX($B:$B,ROW()),Spots!$A:$A,0)))</f>
        <v>0</v>
      </c>
    </row>
    <row r="39" spans="1:8" x14ac:dyDescent="0.3">
      <c r="A39" s="114"/>
      <c r="B39" s="114"/>
      <c r="C39" s="105" cm="1">
        <f t="array" ref="C39">IF(INDEX($A:$A,ROW())="",0,INDEX(Spots!$B:$B,MATCH(INDEX($A:$A,ROW()),Spots!$A:$A,0)))</f>
        <v>0</v>
      </c>
      <c r="D39" s="105" cm="1">
        <f t="array" ref="D39">IF(INDEX($A:$A,ROW())="",0,INDEX(Spots!$C:$C,MATCH(INDEX($A:$A,ROW()),Spots!$A:$A,0)))</f>
        <v>0</v>
      </c>
      <c r="F39" s="107" cm="1">
        <f t="array" ref="F39">IF(INDEX($B:$B,ROW())="",0,INDEX(Spots!$B:$B,MATCH(INDEX($B:$B,ROW()),Spots!$A:$A,0)))</f>
        <v>0</v>
      </c>
      <c r="G39" s="105" cm="1">
        <f t="array" ref="G39">IF(INDEX($B:$B,ROW())="",0,INDEX(Spots!$C:$C,MATCH(INDEX($B:$B,ROW()),Spots!$A:$A,0)))</f>
        <v>0</v>
      </c>
    </row>
    <row r="40" spans="1:8" x14ac:dyDescent="0.3">
      <c r="A40" s="114"/>
      <c r="B40" s="114"/>
      <c r="C40" s="105" cm="1">
        <f t="array" ref="C40">IF(INDEX($A:$A,ROW())="",0,INDEX(Spots!$B:$B,MATCH(INDEX($A:$A,ROW()),Spots!$A:$A,0)))</f>
        <v>0</v>
      </c>
      <c r="D40" s="105" cm="1">
        <f t="array" ref="D40">IF(INDEX($A:$A,ROW())="",0,INDEX(Spots!$C:$C,MATCH(INDEX($A:$A,ROW()),Spots!$A:$A,0)))</f>
        <v>0</v>
      </c>
      <c r="F40" s="107" cm="1">
        <f t="array" ref="F40">IF(INDEX($B:$B,ROW())="",0,INDEX(Spots!$B:$B,MATCH(INDEX($B:$B,ROW()),Spots!$A:$A,0)))</f>
        <v>0</v>
      </c>
      <c r="G40" s="105" cm="1">
        <f t="array" ref="G40">IF(INDEX($B:$B,ROW())="",0,INDEX(Spots!$C:$C,MATCH(INDEX($B:$B,ROW()),Spots!$A:$A,0)))</f>
        <v>0</v>
      </c>
    </row>
    <row r="41" spans="1:8" x14ac:dyDescent="0.3">
      <c r="A41" s="114"/>
      <c r="B41" s="114"/>
      <c r="C41" s="105" cm="1">
        <f t="array" ref="C41">IF(INDEX($A:$A,ROW())="",0,INDEX(Spots!$B:$B,MATCH(INDEX($A:$A,ROW()),Spots!$A:$A,0)))</f>
        <v>0</v>
      </c>
      <c r="D41" s="105" cm="1">
        <f t="array" ref="D41">IF(INDEX($A:$A,ROW())="",0,INDEX(Spots!$C:$C,MATCH(INDEX($A:$A,ROW()),Spots!$A:$A,0)))</f>
        <v>0</v>
      </c>
      <c r="F41" s="107" cm="1">
        <f t="array" ref="F41">IF(INDEX($B:$B,ROW())="",0,INDEX(Spots!$B:$B,MATCH(INDEX($B:$B,ROW()),Spots!$A:$A,0)))</f>
        <v>0</v>
      </c>
      <c r="G41" s="105" cm="1">
        <f t="array" ref="G41">IF(INDEX($B:$B,ROW())="",0,INDEX(Spots!$C:$C,MATCH(INDEX($B:$B,ROW()),Spots!$A:$A,0)))</f>
        <v>0</v>
      </c>
    </row>
    <row r="42" spans="1:8" x14ac:dyDescent="0.3">
      <c r="A42" s="114"/>
      <c r="B42" s="114"/>
      <c r="C42" s="105" cm="1">
        <f t="array" ref="C42">IF(INDEX($A:$A,ROW())="",0,INDEX(Spots!$B:$B,MATCH(INDEX($A:$A,ROW()),Spots!$A:$A,0)))</f>
        <v>0</v>
      </c>
      <c r="D42" s="105" cm="1">
        <f t="array" ref="D42">IF(INDEX($A:$A,ROW())="",0,INDEX(Spots!$C:$C,MATCH(INDEX($A:$A,ROW()),Spots!$A:$A,0)))</f>
        <v>0</v>
      </c>
      <c r="F42" s="107" cm="1">
        <f t="array" ref="F42">IF(INDEX($B:$B,ROW())="",0,INDEX(Spots!$B:$B,MATCH(INDEX($B:$B,ROW()),Spots!$A:$A,0)))</f>
        <v>0</v>
      </c>
      <c r="G42" s="105" cm="1">
        <f t="array" ref="G42">IF(INDEX($B:$B,ROW())="",0,INDEX(Spots!$C:$C,MATCH(INDEX($B:$B,ROW()),Spots!$A:$A,0)))</f>
        <v>0</v>
      </c>
    </row>
    <row r="43" spans="1:8" x14ac:dyDescent="0.3">
      <c r="A43" s="114"/>
      <c r="B43" s="114"/>
      <c r="F43" s="107"/>
      <c r="G43" s="105"/>
    </row>
    <row r="44" spans="1:8" x14ac:dyDescent="0.3">
      <c r="A44" s="114"/>
      <c r="B44" s="114"/>
      <c r="F44" s="107"/>
      <c r="G44" s="105"/>
    </row>
    <row r="45" spans="1:8" x14ac:dyDescent="0.3">
      <c r="A45" s="114"/>
      <c r="B45" s="114"/>
      <c r="F45" s="107"/>
      <c r="G45" s="105"/>
    </row>
    <row r="46" spans="1:8" x14ac:dyDescent="0.3">
      <c r="A46" s="114"/>
      <c r="B46" s="114"/>
      <c r="F46" s="107"/>
      <c r="G46" s="105"/>
    </row>
    <row r="47" spans="1:8" x14ac:dyDescent="0.3">
      <c r="A47" s="114"/>
      <c r="B47" s="114"/>
      <c r="F47" s="107"/>
      <c r="G47" s="105"/>
    </row>
    <row r="48" spans="1:8" x14ac:dyDescent="0.3">
      <c r="A48" s="114"/>
      <c r="B48" s="114"/>
      <c r="F48" s="107"/>
      <c r="G48" s="105"/>
    </row>
    <row r="49" spans="1:14" x14ac:dyDescent="0.3">
      <c r="A49" s="114"/>
      <c r="B49" s="114"/>
      <c r="F49" s="107"/>
      <c r="G49" s="105"/>
    </row>
    <row r="50" spans="1:14" x14ac:dyDescent="0.3">
      <c r="A50" s="114"/>
      <c r="B50" s="114"/>
      <c r="F50" s="107"/>
      <c r="G50" s="105"/>
    </row>
    <row r="51" spans="1:14" x14ac:dyDescent="0.3">
      <c r="A51" s="114"/>
      <c r="B51" s="114"/>
      <c r="F51" s="107"/>
      <c r="G51" s="105"/>
    </row>
    <row r="52" spans="1:14" x14ac:dyDescent="0.3">
      <c r="A52" s="114"/>
      <c r="B52" s="114"/>
      <c r="F52" s="107"/>
      <c r="G52" s="105"/>
    </row>
    <row r="53" spans="1:14" x14ac:dyDescent="0.3">
      <c r="A53" s="114"/>
      <c r="B53" s="114"/>
      <c r="F53" s="107"/>
      <c r="G53" s="105"/>
    </row>
    <row r="54" spans="1:14" x14ac:dyDescent="0.3">
      <c r="A54" s="114"/>
      <c r="B54" s="114"/>
      <c r="F54" s="107"/>
      <c r="G54" s="105"/>
    </row>
    <row r="55" spans="1:14" x14ac:dyDescent="0.3">
      <c r="A55" s="114"/>
      <c r="B55" s="114"/>
      <c r="F55" s="107"/>
      <c r="G55" s="105"/>
    </row>
    <row r="56" spans="1:14" x14ac:dyDescent="0.3">
      <c r="A56" s="114"/>
      <c r="B56" s="114"/>
      <c r="F56" s="107"/>
      <c r="G56" s="105"/>
    </row>
    <row r="57" spans="1:14" x14ac:dyDescent="0.3">
      <c r="A57" s="114"/>
      <c r="B57" s="114"/>
      <c r="F57" s="107"/>
      <c r="G57" s="105"/>
    </row>
    <row r="58" spans="1:14" x14ac:dyDescent="0.3">
      <c r="A58" s="114"/>
      <c r="B58" s="114"/>
      <c r="F58" s="107"/>
      <c r="G58" s="105"/>
    </row>
    <row r="59" spans="1:14" x14ac:dyDescent="0.3">
      <c r="A59" s="114"/>
      <c r="B59" s="114"/>
      <c r="F59" s="107"/>
      <c r="G59" s="105"/>
    </row>
    <row r="60" spans="1:14" x14ac:dyDescent="0.3">
      <c r="A60" s="114"/>
      <c r="B60" s="114"/>
      <c r="F60" s="107"/>
      <c r="G60" s="105"/>
    </row>
    <row r="61" spans="1:14" ht="28.8" x14ac:dyDescent="0.55000000000000004">
      <c r="A61" s="114"/>
      <c r="B61" s="114"/>
      <c r="C61" s="115"/>
      <c r="D61" s="115"/>
      <c r="E61" s="116"/>
      <c r="F61" s="117"/>
      <c r="G61" s="115"/>
      <c r="H61" s="116"/>
      <c r="N61" s="151" t="s">
        <v>92</v>
      </c>
    </row>
    <row r="62" spans="1:14" x14ac:dyDescent="0.3">
      <c r="A62" s="114"/>
      <c r="B62" s="114"/>
      <c r="F62" s="107"/>
      <c r="G62" s="105"/>
    </row>
    <row r="63" spans="1:14" x14ac:dyDescent="0.3">
      <c r="A63" s="114"/>
      <c r="B63" s="114"/>
      <c r="F63" s="107"/>
      <c r="G63" s="105"/>
    </row>
    <row r="64" spans="1:14" x14ac:dyDescent="0.3">
      <c r="A64" s="114"/>
      <c r="B64" s="114"/>
      <c r="F64" s="107"/>
      <c r="G64" s="105"/>
    </row>
    <row r="65" spans="1:7" x14ac:dyDescent="0.3">
      <c r="A65" s="114"/>
      <c r="B65" s="114"/>
      <c r="F65" s="107"/>
      <c r="G65" s="105"/>
    </row>
    <row r="66" spans="1:7" x14ac:dyDescent="0.3">
      <c r="A66" s="114"/>
      <c r="B66" s="114"/>
      <c r="F66" s="107"/>
      <c r="G66" s="105"/>
    </row>
    <row r="67" spans="1:7" x14ac:dyDescent="0.3">
      <c r="A67" s="114"/>
      <c r="B67" s="114"/>
      <c r="F67" s="107"/>
      <c r="G67" s="105"/>
    </row>
    <row r="68" spans="1:7" x14ac:dyDescent="0.3">
      <c r="A68" s="114"/>
      <c r="B68" s="114"/>
      <c r="F68" s="107"/>
      <c r="G68" s="105"/>
    </row>
    <row r="69" spans="1:7" x14ac:dyDescent="0.3">
      <c r="A69" s="114"/>
      <c r="B69" s="114"/>
      <c r="F69" s="107"/>
      <c r="G69" s="105"/>
    </row>
    <row r="70" spans="1:7" x14ac:dyDescent="0.3">
      <c r="A70" s="114"/>
      <c r="B70" s="114"/>
      <c r="F70" s="107"/>
      <c r="G70" s="105"/>
    </row>
    <row r="71" spans="1:7" x14ac:dyDescent="0.3">
      <c r="A71" s="114"/>
      <c r="B71" s="114"/>
      <c r="F71" s="107"/>
      <c r="G71" s="105"/>
    </row>
    <row r="72" spans="1:7" x14ac:dyDescent="0.3">
      <c r="A72" s="114"/>
      <c r="B72" s="114"/>
      <c r="F72" s="107"/>
      <c r="G72" s="105"/>
    </row>
    <row r="73" spans="1:7" x14ac:dyDescent="0.3">
      <c r="A73" s="114"/>
      <c r="B73" s="114"/>
      <c r="F73" s="107"/>
      <c r="G73" s="105"/>
    </row>
    <row r="74" spans="1:7" x14ac:dyDescent="0.3">
      <c r="A74" s="114"/>
      <c r="B74" s="114"/>
      <c r="F74" s="107"/>
      <c r="G74" s="105"/>
    </row>
    <row r="75" spans="1:7" x14ac:dyDescent="0.3">
      <c r="A75" s="114"/>
      <c r="B75" s="114"/>
      <c r="F75" s="107"/>
      <c r="G75" s="105"/>
    </row>
    <row r="76" spans="1:7" x14ac:dyDescent="0.3">
      <c r="A76" s="114"/>
      <c r="B76" s="114"/>
      <c r="F76" s="107"/>
      <c r="G76" s="105"/>
    </row>
    <row r="77" spans="1:7" x14ac:dyDescent="0.3">
      <c r="A77" s="114"/>
      <c r="B77" s="114"/>
      <c r="F77" s="107"/>
      <c r="G77" s="105"/>
    </row>
    <row r="78" spans="1:7" x14ac:dyDescent="0.3">
      <c r="A78" s="114"/>
      <c r="B78" s="114"/>
      <c r="F78" s="107"/>
      <c r="G78" s="105"/>
    </row>
    <row r="79" spans="1:7" x14ac:dyDescent="0.3">
      <c r="A79" s="114"/>
      <c r="B79" s="114"/>
      <c r="F79" s="107"/>
      <c r="G79" s="105"/>
    </row>
    <row r="80" spans="1:7" x14ac:dyDescent="0.3">
      <c r="A80" s="114"/>
      <c r="B80" s="114"/>
      <c r="F80" s="107"/>
      <c r="G80" s="105"/>
    </row>
    <row r="81" spans="1:7" x14ac:dyDescent="0.3">
      <c r="A81" s="114"/>
      <c r="B81" s="114"/>
      <c r="F81" s="107"/>
      <c r="G81" s="105"/>
    </row>
    <row r="82" spans="1:7" x14ac:dyDescent="0.3">
      <c r="A82" s="114"/>
      <c r="B82" s="114"/>
      <c r="F82" s="107"/>
      <c r="G82" s="105"/>
    </row>
    <row r="83" spans="1:7" x14ac:dyDescent="0.3">
      <c r="A83" s="114"/>
      <c r="B83" s="114"/>
      <c r="F83" s="107"/>
      <c r="G83" s="105"/>
    </row>
    <row r="84" spans="1:7" x14ac:dyDescent="0.3">
      <c r="A84" s="114"/>
      <c r="B84" s="114"/>
      <c r="F84" s="107"/>
      <c r="G84" s="105"/>
    </row>
    <row r="85" spans="1:7" x14ac:dyDescent="0.3">
      <c r="A85" s="114"/>
      <c r="B85" s="114"/>
      <c r="F85" s="107"/>
      <c r="G85" s="105"/>
    </row>
    <row r="86" spans="1:7" x14ac:dyDescent="0.3">
      <c r="A86" s="114"/>
      <c r="B86" s="114"/>
      <c r="F86" s="107"/>
      <c r="G86" s="105"/>
    </row>
    <row r="87" spans="1:7" x14ac:dyDescent="0.3">
      <c r="A87" s="114"/>
      <c r="B87" s="114"/>
      <c r="F87" s="107"/>
      <c r="G87" s="105"/>
    </row>
    <row r="88" spans="1:7" x14ac:dyDescent="0.3">
      <c r="A88" s="114"/>
      <c r="B88" s="114"/>
      <c r="F88" s="107"/>
      <c r="G88" s="105"/>
    </row>
    <row r="89" spans="1:7" x14ac:dyDescent="0.3">
      <c r="A89" s="114"/>
      <c r="B89" s="114"/>
      <c r="F89" s="107"/>
      <c r="G89" s="105"/>
    </row>
    <row r="90" spans="1:7" x14ac:dyDescent="0.3">
      <c r="A90" s="114"/>
      <c r="B90" s="114"/>
      <c r="F90" s="107"/>
      <c r="G90" s="105"/>
    </row>
    <row r="91" spans="1:7" x14ac:dyDescent="0.3">
      <c r="A91" s="114"/>
      <c r="B91" s="114"/>
      <c r="F91" s="107"/>
      <c r="G91" s="105"/>
    </row>
    <row r="92" spans="1:7" x14ac:dyDescent="0.3">
      <c r="A92" s="114"/>
      <c r="B92" s="114"/>
      <c r="F92" s="107"/>
      <c r="G92" s="105"/>
    </row>
    <row r="93" spans="1:7" x14ac:dyDescent="0.3">
      <c r="A93" s="114"/>
      <c r="B93" s="114"/>
      <c r="F93" s="107"/>
      <c r="G93" s="105"/>
    </row>
    <row r="94" spans="1:7" x14ac:dyDescent="0.3">
      <c r="A94" s="114"/>
      <c r="B94" s="114"/>
      <c r="F94" s="107"/>
      <c r="G94" s="105"/>
    </row>
    <row r="95" spans="1:7" x14ac:dyDescent="0.3">
      <c r="A95" s="114"/>
      <c r="B95" s="114"/>
      <c r="F95" s="107"/>
      <c r="G95" s="105"/>
    </row>
    <row r="96" spans="1:7" x14ac:dyDescent="0.3">
      <c r="A96" s="114"/>
      <c r="B96" s="114"/>
      <c r="F96" s="107"/>
      <c r="G96" s="105"/>
    </row>
    <row r="97" spans="1:8" x14ac:dyDescent="0.3">
      <c r="A97" s="114"/>
      <c r="B97" s="114"/>
      <c r="F97" s="107"/>
      <c r="G97" s="105"/>
    </row>
    <row r="98" spans="1:8" x14ac:dyDescent="0.3">
      <c r="A98" s="114"/>
      <c r="B98" s="114"/>
      <c r="F98" s="107"/>
      <c r="G98" s="105"/>
    </row>
    <row r="99" spans="1:8" x14ac:dyDescent="0.3">
      <c r="A99" s="114"/>
      <c r="B99" s="114"/>
      <c r="F99" s="107"/>
      <c r="G99" s="105"/>
    </row>
    <row r="100" spans="1:8" x14ac:dyDescent="0.3">
      <c r="A100" s="114"/>
      <c r="B100" s="114"/>
      <c r="F100" s="107"/>
      <c r="G100" s="105"/>
    </row>
    <row r="101" spans="1:8" x14ac:dyDescent="0.3">
      <c r="A101" s="114"/>
      <c r="B101" s="114"/>
      <c r="F101" s="107"/>
      <c r="G101" s="105"/>
    </row>
    <row r="102" spans="1:8" x14ac:dyDescent="0.3">
      <c r="A102" s="114"/>
      <c r="B102" s="114"/>
      <c r="F102" s="107"/>
      <c r="G102" s="105"/>
    </row>
    <row r="103" spans="1:8" x14ac:dyDescent="0.3">
      <c r="A103" s="114"/>
      <c r="B103" s="114"/>
      <c r="F103" s="107"/>
      <c r="G103" s="105"/>
    </row>
    <row r="104" spans="1:8" x14ac:dyDescent="0.3">
      <c r="A104" s="114"/>
      <c r="B104" s="114"/>
      <c r="F104" s="107"/>
      <c r="G104" s="105"/>
    </row>
    <row r="105" spans="1:8" x14ac:dyDescent="0.3">
      <c r="A105" s="114"/>
      <c r="B105" s="114"/>
      <c r="F105" s="107"/>
      <c r="G105" s="105"/>
    </row>
    <row r="106" spans="1:8" x14ac:dyDescent="0.3">
      <c r="A106" s="114"/>
      <c r="B106" s="114"/>
      <c r="F106" s="107"/>
      <c r="G106" s="105"/>
    </row>
    <row r="107" spans="1:8" x14ac:dyDescent="0.3">
      <c r="A107" s="114"/>
      <c r="B107" s="114"/>
      <c r="F107" s="107"/>
      <c r="G107" s="105"/>
    </row>
    <row r="108" spans="1:8" x14ac:dyDescent="0.3">
      <c r="E108" s="118"/>
      <c r="F108" s="107"/>
      <c r="G108" s="105"/>
      <c r="H108" s="119"/>
    </row>
    <row r="109" spans="1:8" x14ac:dyDescent="0.3">
      <c r="F109" s="107"/>
      <c r="G109" s="105"/>
    </row>
    <row r="110" spans="1:8" x14ac:dyDescent="0.3">
      <c r="F110" s="107"/>
      <c r="G110" s="105"/>
    </row>
    <row r="111" spans="1:8" x14ac:dyDescent="0.3">
      <c r="F111" s="107"/>
      <c r="G111" s="105"/>
    </row>
    <row r="112" spans="1:8" x14ac:dyDescent="0.3">
      <c r="F112" s="107"/>
      <c r="G112" s="105"/>
    </row>
    <row r="113" spans="6:12" x14ac:dyDescent="0.3">
      <c r="F113" s="107"/>
      <c r="G113" s="105"/>
    </row>
    <row r="114" spans="6:12" x14ac:dyDescent="0.3">
      <c r="F114" s="107"/>
      <c r="G114" s="105"/>
    </row>
    <row r="115" spans="6:12" x14ac:dyDescent="0.3">
      <c r="F115" s="107"/>
      <c r="G115" s="105"/>
    </row>
    <row r="116" spans="6:12" x14ac:dyDescent="0.3">
      <c r="F116" s="107"/>
      <c r="G116" s="105"/>
    </row>
    <row r="117" spans="6:12" x14ac:dyDescent="0.3">
      <c r="F117" s="107"/>
      <c r="G117" s="105"/>
    </row>
    <row r="118" spans="6:12" x14ac:dyDescent="0.3">
      <c r="F118" s="107"/>
      <c r="G118" s="105"/>
    </row>
    <row r="119" spans="6:12" x14ac:dyDescent="0.3">
      <c r="F119" s="107"/>
      <c r="G119" s="105"/>
    </row>
    <row r="120" spans="6:12" x14ac:dyDescent="0.3">
      <c r="F120" s="107"/>
      <c r="G120" s="105"/>
    </row>
    <row r="121" spans="6:12" x14ac:dyDescent="0.3">
      <c r="F121" s="107"/>
      <c r="G121" s="105"/>
      <c r="L121" s="152"/>
    </row>
    <row r="122" spans="6:12" x14ac:dyDescent="0.3">
      <c r="F122" s="107"/>
      <c r="G122" s="105"/>
    </row>
    <row r="123" spans="6:12" x14ac:dyDescent="0.3">
      <c r="F123" s="107"/>
      <c r="G123" s="105"/>
    </row>
    <row r="124" spans="6:12" x14ac:dyDescent="0.3">
      <c r="F124" s="107"/>
      <c r="G124" s="105"/>
    </row>
    <row r="125" spans="6:12" x14ac:dyDescent="0.3">
      <c r="F125" s="107"/>
      <c r="G125" s="105"/>
    </row>
    <row r="126" spans="6:12" x14ac:dyDescent="0.3">
      <c r="F126" s="107"/>
      <c r="G126" s="105"/>
    </row>
    <row r="127" spans="6:12" x14ac:dyDescent="0.3">
      <c r="F127" s="107"/>
      <c r="G127" s="105"/>
    </row>
    <row r="128" spans="6:12" x14ac:dyDescent="0.3">
      <c r="F128" s="107"/>
      <c r="G128" s="105"/>
    </row>
    <row r="129" spans="6:7" x14ac:dyDescent="0.3">
      <c r="F129" s="107"/>
      <c r="G129" s="105"/>
    </row>
    <row r="130" spans="6:7" x14ac:dyDescent="0.3">
      <c r="F130" s="107"/>
      <c r="G130" s="105"/>
    </row>
    <row r="131" spans="6:7" x14ac:dyDescent="0.3">
      <c r="F131" s="107"/>
      <c r="G131" s="105"/>
    </row>
    <row r="132" spans="6:7" x14ac:dyDescent="0.3">
      <c r="F132" s="107"/>
      <c r="G132" s="105"/>
    </row>
    <row r="133" spans="6:7" x14ac:dyDescent="0.3">
      <c r="F133" s="107"/>
      <c r="G133" s="105"/>
    </row>
    <row r="134" spans="6:7" x14ac:dyDescent="0.3">
      <c r="F134" s="107"/>
      <c r="G134" s="105"/>
    </row>
    <row r="135" spans="6:7" x14ac:dyDescent="0.3">
      <c r="F135" s="107"/>
      <c r="G135" s="105"/>
    </row>
    <row r="136" spans="6:7" x14ac:dyDescent="0.3">
      <c r="F136" s="107"/>
      <c r="G136" s="105"/>
    </row>
    <row r="137" spans="6:7" x14ac:dyDescent="0.3">
      <c r="F137" s="107"/>
      <c r="G137" s="105"/>
    </row>
    <row r="138" spans="6:7" x14ac:dyDescent="0.3">
      <c r="F138" s="107"/>
      <c r="G138" s="105"/>
    </row>
    <row r="139" spans="6:7" x14ac:dyDescent="0.3">
      <c r="F139" s="107"/>
      <c r="G139" s="105"/>
    </row>
    <row r="140" spans="6:7" x14ac:dyDescent="0.3">
      <c r="F140" s="107"/>
      <c r="G140" s="105"/>
    </row>
    <row r="141" spans="6:7" x14ac:dyDescent="0.3">
      <c r="F141" s="107"/>
      <c r="G141" s="105"/>
    </row>
    <row r="142" spans="6:7" x14ac:dyDescent="0.3">
      <c r="F142" s="107"/>
      <c r="G142" s="105"/>
    </row>
    <row r="143" spans="6:7" x14ac:dyDescent="0.3">
      <c r="F143" s="107"/>
      <c r="G143" s="105"/>
    </row>
    <row r="144" spans="6:7" x14ac:dyDescent="0.3">
      <c r="F144" s="107"/>
      <c r="G144" s="105"/>
    </row>
    <row r="145" spans="6:7" x14ac:dyDescent="0.3">
      <c r="F145" s="107"/>
      <c r="G145" s="105"/>
    </row>
    <row r="146" spans="6:7" x14ac:dyDescent="0.3">
      <c r="F146" s="107"/>
      <c r="G146" s="105"/>
    </row>
    <row r="147" spans="6:7" x14ac:dyDescent="0.3">
      <c r="F147" s="107"/>
      <c r="G147" s="105"/>
    </row>
    <row r="148" spans="6:7" x14ac:dyDescent="0.3">
      <c r="F148" s="107"/>
      <c r="G148" s="105"/>
    </row>
    <row r="149" spans="6:7" x14ac:dyDescent="0.3">
      <c r="F149" s="107"/>
      <c r="G149" s="105"/>
    </row>
    <row r="150" spans="6:7" x14ac:dyDescent="0.3">
      <c r="F150" s="107"/>
      <c r="G150" s="105"/>
    </row>
    <row r="151" spans="6:7" x14ac:dyDescent="0.3">
      <c r="F151" s="107"/>
      <c r="G151" s="105"/>
    </row>
    <row r="152" spans="6:7" x14ac:dyDescent="0.3">
      <c r="F152" s="107"/>
      <c r="G152" s="105"/>
    </row>
    <row r="153" spans="6:7" x14ac:dyDescent="0.3">
      <c r="F153" s="107"/>
      <c r="G153" s="105"/>
    </row>
    <row r="154" spans="6:7" x14ac:dyDescent="0.3">
      <c r="F154" s="107"/>
      <c r="G154" s="105"/>
    </row>
    <row r="155" spans="6:7" x14ac:dyDescent="0.3">
      <c r="F155" s="107"/>
      <c r="G155" s="105"/>
    </row>
    <row r="156" spans="6:7" x14ac:dyDescent="0.3">
      <c r="F156" s="107"/>
      <c r="G156" s="105"/>
    </row>
    <row r="157" spans="6:7" x14ac:dyDescent="0.3">
      <c r="F157" s="107"/>
      <c r="G157" s="105"/>
    </row>
    <row r="158" spans="6:7" x14ac:dyDescent="0.3">
      <c r="F158" s="107"/>
      <c r="G158" s="105"/>
    </row>
    <row r="159" spans="6:7" x14ac:dyDescent="0.3">
      <c r="F159" s="107"/>
      <c r="G159" s="105"/>
    </row>
    <row r="160" spans="6:7" x14ac:dyDescent="0.3">
      <c r="F160" s="107"/>
      <c r="G160" s="105"/>
    </row>
    <row r="161" spans="6:7" x14ac:dyDescent="0.3">
      <c r="F161" s="107"/>
      <c r="G161" s="105"/>
    </row>
    <row r="162" spans="6:7" x14ac:dyDescent="0.3">
      <c r="F162" s="107"/>
      <c r="G162" s="105"/>
    </row>
    <row r="163" spans="6:7" x14ac:dyDescent="0.3">
      <c r="F163" s="107"/>
      <c r="G163" s="105"/>
    </row>
    <row r="164" spans="6:7" x14ac:dyDescent="0.3">
      <c r="F164" s="107"/>
      <c r="G164" s="105"/>
    </row>
    <row r="165" spans="6:7" x14ac:dyDescent="0.3">
      <c r="F165" s="107"/>
      <c r="G165" s="105"/>
    </row>
    <row r="166" spans="6:7" x14ac:dyDescent="0.3">
      <c r="F166" s="107"/>
      <c r="G166" s="105"/>
    </row>
    <row r="167" spans="6:7" x14ac:dyDescent="0.3">
      <c r="F167" s="107"/>
      <c r="G167" s="105"/>
    </row>
    <row r="168" spans="6:7" x14ac:dyDescent="0.3">
      <c r="F168" s="107"/>
      <c r="G168" s="105"/>
    </row>
    <row r="169" spans="6:7" x14ac:dyDescent="0.3">
      <c r="F169" s="107"/>
      <c r="G169" s="105"/>
    </row>
    <row r="170" spans="6:7" x14ac:dyDescent="0.3">
      <c r="F170" s="107"/>
      <c r="G170" s="105"/>
    </row>
    <row r="171" spans="6:7" x14ac:dyDescent="0.3">
      <c r="F171" s="107"/>
      <c r="G171" s="105"/>
    </row>
    <row r="172" spans="6:7" x14ac:dyDescent="0.3">
      <c r="F172" s="107"/>
      <c r="G172" s="105"/>
    </row>
    <row r="173" spans="6:7" x14ac:dyDescent="0.3">
      <c r="F173" s="107"/>
      <c r="G173" s="105"/>
    </row>
    <row r="174" spans="6:7" x14ac:dyDescent="0.3">
      <c r="F174" s="107"/>
      <c r="G174" s="105"/>
    </row>
    <row r="175" spans="6:7" x14ac:dyDescent="0.3">
      <c r="F175" s="107"/>
      <c r="G175" s="105"/>
    </row>
    <row r="176" spans="6:7" x14ac:dyDescent="0.3">
      <c r="F176" s="107"/>
      <c r="G176" s="105"/>
    </row>
    <row r="177" spans="6:7" x14ac:dyDescent="0.3">
      <c r="F177" s="107"/>
      <c r="G177" s="105"/>
    </row>
    <row r="178" spans="6:7" x14ac:dyDescent="0.3">
      <c r="F178" s="107"/>
      <c r="G178" s="105"/>
    </row>
    <row r="179" spans="6:7" x14ac:dyDescent="0.3">
      <c r="F179" s="107"/>
      <c r="G179" s="105"/>
    </row>
    <row r="180" spans="6:7" x14ac:dyDescent="0.3">
      <c r="F180" s="107"/>
      <c r="G180" s="105"/>
    </row>
    <row r="181" spans="6:7" x14ac:dyDescent="0.3">
      <c r="F181" s="107"/>
      <c r="G181" s="105"/>
    </row>
    <row r="182" spans="6:7" x14ac:dyDescent="0.3">
      <c r="F182" s="107"/>
      <c r="G182" s="105"/>
    </row>
    <row r="183" spans="6:7" x14ac:dyDescent="0.3">
      <c r="F183" s="107"/>
      <c r="G183" s="105"/>
    </row>
    <row r="184" spans="6:7" x14ac:dyDescent="0.3">
      <c r="F184" s="107"/>
      <c r="G184" s="105"/>
    </row>
    <row r="185" spans="6:7" x14ac:dyDescent="0.3">
      <c r="F185" s="107"/>
      <c r="G185" s="105"/>
    </row>
    <row r="186" spans="6:7" x14ac:dyDescent="0.3">
      <c r="F186" s="107"/>
      <c r="G186" s="105"/>
    </row>
    <row r="187" spans="6:7" x14ac:dyDescent="0.3">
      <c r="F187" s="107"/>
      <c r="G187" s="105"/>
    </row>
    <row r="188" spans="6:7" x14ac:dyDescent="0.3">
      <c r="F188" s="107"/>
      <c r="G188" s="105"/>
    </row>
    <row r="189" spans="6:7" x14ac:dyDescent="0.3">
      <c r="F189" s="107"/>
      <c r="G189" s="105"/>
    </row>
    <row r="190" spans="6:7" x14ac:dyDescent="0.3">
      <c r="F190" s="107"/>
      <c r="G190" s="105"/>
    </row>
    <row r="191" spans="6:7" x14ac:dyDescent="0.3">
      <c r="F191" s="107"/>
      <c r="G191" s="105"/>
    </row>
    <row r="192" spans="6:7" x14ac:dyDescent="0.3">
      <c r="F192" s="107"/>
      <c r="G192" s="105"/>
    </row>
    <row r="193" spans="6:7" x14ac:dyDescent="0.3">
      <c r="F193" s="107"/>
      <c r="G193" s="105"/>
    </row>
    <row r="194" spans="6:7" x14ac:dyDescent="0.3">
      <c r="F194" s="107"/>
      <c r="G194" s="105"/>
    </row>
    <row r="195" spans="6:7" x14ac:dyDescent="0.3">
      <c r="F195" s="107"/>
      <c r="G195" s="105"/>
    </row>
    <row r="196" spans="6:7" x14ac:dyDescent="0.3">
      <c r="F196" s="107"/>
      <c r="G196" s="105"/>
    </row>
    <row r="197" spans="6:7" x14ac:dyDescent="0.3">
      <c r="F197" s="107"/>
      <c r="G197" s="105"/>
    </row>
    <row r="198" spans="6:7" x14ac:dyDescent="0.3">
      <c r="F198" s="107"/>
      <c r="G198" s="105"/>
    </row>
    <row r="199" spans="6:7" x14ac:dyDescent="0.3">
      <c r="F199" s="107"/>
      <c r="G199" s="105"/>
    </row>
    <row r="200" spans="6:7" x14ac:dyDescent="0.3">
      <c r="F200" s="107"/>
      <c r="G200" s="105"/>
    </row>
    <row r="201" spans="6:7" x14ac:dyDescent="0.3">
      <c r="F201" s="107"/>
      <c r="G201" s="105"/>
    </row>
    <row r="202" spans="6:7" x14ac:dyDescent="0.3">
      <c r="F202" s="107"/>
      <c r="G202" s="105"/>
    </row>
    <row r="203" spans="6:7" x14ac:dyDescent="0.3">
      <c r="F203" s="107"/>
      <c r="G203" s="105"/>
    </row>
    <row r="204" spans="6:7" x14ac:dyDescent="0.3">
      <c r="F204" s="107"/>
      <c r="G204" s="105"/>
    </row>
    <row r="205" spans="6:7" x14ac:dyDescent="0.3">
      <c r="F205" s="107"/>
      <c r="G205" s="105"/>
    </row>
    <row r="206" spans="6:7" x14ac:dyDescent="0.3">
      <c r="F206" s="107"/>
      <c r="G206" s="105"/>
    </row>
    <row r="207" spans="6:7" x14ac:dyDescent="0.3">
      <c r="F207" s="107"/>
      <c r="G207" s="105"/>
    </row>
    <row r="208" spans="6:7" x14ac:dyDescent="0.3">
      <c r="F208" s="107"/>
      <c r="G208" s="105"/>
    </row>
    <row r="209" spans="6:7" x14ac:dyDescent="0.3">
      <c r="F209" s="107"/>
      <c r="G209" s="105"/>
    </row>
    <row r="210" spans="6:7" x14ac:dyDescent="0.3">
      <c r="F210" s="107"/>
      <c r="G210" s="105"/>
    </row>
    <row r="211" spans="6:7" x14ac:dyDescent="0.3">
      <c r="F211" s="107"/>
      <c r="G211" s="105"/>
    </row>
    <row r="212" spans="6:7" x14ac:dyDescent="0.3">
      <c r="F212" s="107"/>
      <c r="G212" s="105"/>
    </row>
    <row r="213" spans="6:7" x14ac:dyDescent="0.3">
      <c r="F213" s="107"/>
      <c r="G213" s="105"/>
    </row>
    <row r="214" spans="6:7" x14ac:dyDescent="0.3">
      <c r="F214" s="107"/>
      <c r="G214" s="105"/>
    </row>
    <row r="215" spans="6:7" x14ac:dyDescent="0.3">
      <c r="F215" s="107"/>
      <c r="G215" s="105"/>
    </row>
    <row r="216" spans="6:7" x14ac:dyDescent="0.3">
      <c r="F216" s="107"/>
      <c r="G216" s="105"/>
    </row>
    <row r="217" spans="6:7" x14ac:dyDescent="0.3">
      <c r="F217" s="107"/>
      <c r="G217" s="105"/>
    </row>
    <row r="218" spans="6:7" x14ac:dyDescent="0.3">
      <c r="F218" s="107"/>
      <c r="G218" s="105"/>
    </row>
    <row r="219" spans="6:7" x14ac:dyDescent="0.3">
      <c r="F219" s="107"/>
      <c r="G219" s="105"/>
    </row>
    <row r="220" spans="6:7" x14ac:dyDescent="0.3">
      <c r="F220" s="107"/>
      <c r="G220" s="105"/>
    </row>
    <row r="221" spans="6:7" x14ac:dyDescent="0.3">
      <c r="F221" s="107"/>
      <c r="G221" s="105"/>
    </row>
    <row r="222" spans="6:7" x14ac:dyDescent="0.3">
      <c r="F222" s="107"/>
      <c r="G222" s="105"/>
    </row>
    <row r="223" spans="6:7" x14ac:dyDescent="0.3">
      <c r="F223" s="107"/>
      <c r="G223" s="105"/>
    </row>
    <row r="224" spans="6:7" x14ac:dyDescent="0.3">
      <c r="F224" s="107"/>
      <c r="G224" s="105"/>
    </row>
    <row r="225" spans="6:7" x14ac:dyDescent="0.3">
      <c r="F225" s="107"/>
      <c r="G225" s="105"/>
    </row>
    <row r="226" spans="6:7" x14ac:dyDescent="0.3">
      <c r="F226" s="107"/>
      <c r="G226" s="105"/>
    </row>
    <row r="227" spans="6:7" x14ac:dyDescent="0.3">
      <c r="F227" s="107"/>
      <c r="G227" s="105"/>
    </row>
    <row r="228" spans="6:7" x14ac:dyDescent="0.3">
      <c r="F228" s="107"/>
      <c r="G228" s="105"/>
    </row>
    <row r="229" spans="6:7" x14ac:dyDescent="0.3">
      <c r="F229" s="107"/>
      <c r="G229" s="105"/>
    </row>
    <row r="230" spans="6:7" x14ac:dyDescent="0.3">
      <c r="F230" s="107"/>
      <c r="G230" s="105"/>
    </row>
    <row r="231" spans="6:7" x14ac:dyDescent="0.3">
      <c r="F231" s="107"/>
      <c r="G231" s="105"/>
    </row>
    <row r="232" spans="6:7" x14ac:dyDescent="0.3">
      <c r="F232" s="107"/>
      <c r="G232" s="105"/>
    </row>
    <row r="233" spans="6:7" x14ac:dyDescent="0.3">
      <c r="F233" s="107"/>
      <c r="G233" s="105"/>
    </row>
    <row r="234" spans="6:7" x14ac:dyDescent="0.3">
      <c r="F234" s="107"/>
      <c r="G234" s="105"/>
    </row>
    <row r="235" spans="6:7" x14ac:dyDescent="0.3">
      <c r="F235" s="107"/>
      <c r="G235" s="105"/>
    </row>
    <row r="236" spans="6:7" x14ac:dyDescent="0.3">
      <c r="F236" s="107"/>
      <c r="G236" s="105"/>
    </row>
    <row r="237" spans="6:7" x14ac:dyDescent="0.3">
      <c r="F237" s="107"/>
      <c r="G237" s="105"/>
    </row>
    <row r="238" spans="6:7" x14ac:dyDescent="0.3">
      <c r="F238" s="107"/>
      <c r="G238" s="105"/>
    </row>
    <row r="239" spans="6:7" x14ac:dyDescent="0.3">
      <c r="F239" s="107"/>
      <c r="G239" s="105"/>
    </row>
    <row r="240" spans="6:7" x14ac:dyDescent="0.3">
      <c r="F240" s="107"/>
      <c r="G240" s="105"/>
    </row>
    <row r="241" spans="6:7" x14ac:dyDescent="0.3">
      <c r="F241" s="107"/>
      <c r="G241" s="105"/>
    </row>
    <row r="242" spans="6:7" x14ac:dyDescent="0.3">
      <c r="F242" s="107"/>
      <c r="G242" s="105"/>
    </row>
    <row r="243" spans="6:7" x14ac:dyDescent="0.3">
      <c r="F243" s="107"/>
      <c r="G243" s="105"/>
    </row>
    <row r="244" spans="6:7" x14ac:dyDescent="0.3">
      <c r="F244" s="107"/>
      <c r="G244" s="105"/>
    </row>
    <row r="245" spans="6:7" x14ac:dyDescent="0.3">
      <c r="F245" s="107"/>
      <c r="G245" s="105"/>
    </row>
    <row r="246" spans="6:7" x14ac:dyDescent="0.3">
      <c r="F246" s="107"/>
      <c r="G246" s="105"/>
    </row>
    <row r="247" spans="6:7" x14ac:dyDescent="0.3">
      <c r="F247" s="107"/>
      <c r="G247" s="105"/>
    </row>
    <row r="248" spans="6:7" x14ac:dyDescent="0.3">
      <c r="F248" s="107"/>
      <c r="G248" s="105"/>
    </row>
    <row r="249" spans="6:7" x14ac:dyDescent="0.3">
      <c r="F249" s="107"/>
      <c r="G249" s="105"/>
    </row>
    <row r="250" spans="6:7" x14ac:dyDescent="0.3">
      <c r="F250" s="107"/>
      <c r="G250" s="105"/>
    </row>
    <row r="251" spans="6:7" x14ac:dyDescent="0.3">
      <c r="F251" s="107"/>
      <c r="G251" s="105"/>
    </row>
    <row r="252" spans="6:7" x14ac:dyDescent="0.3">
      <c r="F252" s="107"/>
      <c r="G252" s="105"/>
    </row>
    <row r="253" spans="6:7" x14ac:dyDescent="0.3">
      <c r="F253" s="107"/>
      <c r="G253" s="105"/>
    </row>
    <row r="254" spans="6:7" x14ac:dyDescent="0.3">
      <c r="F254" s="107"/>
      <c r="G254" s="105"/>
    </row>
    <row r="255" spans="6:7" x14ac:dyDescent="0.3">
      <c r="F255" s="107"/>
      <c r="G255" s="105"/>
    </row>
    <row r="256" spans="6:7" x14ac:dyDescent="0.3">
      <c r="F256" s="107"/>
      <c r="G256" s="105"/>
    </row>
    <row r="257" spans="6:7" x14ac:dyDescent="0.3">
      <c r="F257" s="107"/>
      <c r="G257" s="105"/>
    </row>
    <row r="258" spans="6:7" x14ac:dyDescent="0.3">
      <c r="F258" s="107"/>
      <c r="G258" s="105"/>
    </row>
    <row r="259" spans="6:7" x14ac:dyDescent="0.3">
      <c r="F259" s="107"/>
      <c r="G259" s="105"/>
    </row>
    <row r="260" spans="6:7" x14ac:dyDescent="0.3">
      <c r="F260" s="107"/>
      <c r="G260" s="105"/>
    </row>
    <row r="261" spans="6:7" x14ac:dyDescent="0.3">
      <c r="F261" s="107"/>
      <c r="G261" s="105"/>
    </row>
    <row r="262" spans="6:7" x14ac:dyDescent="0.3">
      <c r="F262" s="107"/>
      <c r="G262" s="105"/>
    </row>
    <row r="263" spans="6:7" x14ac:dyDescent="0.3">
      <c r="F263" s="107"/>
      <c r="G263" s="105"/>
    </row>
    <row r="264" spans="6:7" x14ac:dyDescent="0.3">
      <c r="F264" s="107"/>
      <c r="G264" s="105"/>
    </row>
    <row r="265" spans="6:7" x14ac:dyDescent="0.3">
      <c r="F265" s="107"/>
      <c r="G265" s="105"/>
    </row>
    <row r="266" spans="6:7" x14ac:dyDescent="0.3">
      <c r="F266" s="107"/>
      <c r="G266" s="105"/>
    </row>
    <row r="267" spans="6:7" x14ac:dyDescent="0.3">
      <c r="F267" s="107"/>
      <c r="G267" s="105"/>
    </row>
    <row r="268" spans="6:7" x14ac:dyDescent="0.3">
      <c r="F268" s="107"/>
      <c r="G268" s="105"/>
    </row>
    <row r="269" spans="6:7" x14ac:dyDescent="0.3">
      <c r="F269" s="107"/>
      <c r="G269" s="105"/>
    </row>
    <row r="270" spans="6:7" x14ac:dyDescent="0.3">
      <c r="F270" s="107"/>
      <c r="G270" s="105"/>
    </row>
    <row r="271" spans="6:7" x14ac:dyDescent="0.3">
      <c r="F271" s="107"/>
      <c r="G271" s="105"/>
    </row>
    <row r="272" spans="6:7" x14ac:dyDescent="0.3">
      <c r="F272" s="107"/>
      <c r="G272" s="105"/>
    </row>
    <row r="273" spans="6:7" x14ac:dyDescent="0.3">
      <c r="F273" s="107"/>
      <c r="G273" s="105"/>
    </row>
    <row r="274" spans="6:7" x14ac:dyDescent="0.3">
      <c r="F274" s="107"/>
      <c r="G274" s="105"/>
    </row>
    <row r="275" spans="6:7" x14ac:dyDescent="0.3">
      <c r="F275" s="107"/>
      <c r="G275" s="105"/>
    </row>
    <row r="276" spans="6:7" x14ac:dyDescent="0.3">
      <c r="F276" s="107"/>
      <c r="G276" s="105"/>
    </row>
    <row r="277" spans="6:7" x14ac:dyDescent="0.3">
      <c r="F277" s="107"/>
      <c r="G277" s="105"/>
    </row>
    <row r="278" spans="6:7" x14ac:dyDescent="0.3">
      <c r="F278" s="107"/>
      <c r="G278" s="105"/>
    </row>
    <row r="279" spans="6:7" x14ac:dyDescent="0.3">
      <c r="F279" s="107"/>
      <c r="G279" s="105"/>
    </row>
    <row r="280" spans="6:7" x14ac:dyDescent="0.3">
      <c r="F280" s="107"/>
      <c r="G280" s="105"/>
    </row>
    <row r="281" spans="6:7" x14ac:dyDescent="0.3">
      <c r="F281" s="107"/>
      <c r="G281" s="105"/>
    </row>
    <row r="282" spans="6:7" x14ac:dyDescent="0.3">
      <c r="F282" s="107"/>
      <c r="G282" s="105"/>
    </row>
    <row r="283" spans="6:7" x14ac:dyDescent="0.3">
      <c r="F283" s="107"/>
      <c r="G283" s="105"/>
    </row>
    <row r="284" spans="6:7" x14ac:dyDescent="0.3">
      <c r="F284" s="107"/>
      <c r="G284" s="105"/>
    </row>
    <row r="285" spans="6:7" x14ac:dyDescent="0.3">
      <c r="F285" s="107"/>
      <c r="G285" s="105"/>
    </row>
    <row r="286" spans="6:7" x14ac:dyDescent="0.3">
      <c r="F286" s="107"/>
      <c r="G286" s="105"/>
    </row>
    <row r="287" spans="6:7" x14ac:dyDescent="0.3">
      <c r="F287" s="107"/>
      <c r="G287" s="105"/>
    </row>
    <row r="288" spans="6:7" x14ac:dyDescent="0.3">
      <c r="F288" s="107"/>
      <c r="G288" s="105"/>
    </row>
    <row r="289" spans="6:7" x14ac:dyDescent="0.3">
      <c r="F289" s="107"/>
      <c r="G289" s="105"/>
    </row>
    <row r="290" spans="6:7" x14ac:dyDescent="0.3">
      <c r="F290" s="107"/>
      <c r="G290" s="105"/>
    </row>
    <row r="291" spans="6:7" x14ac:dyDescent="0.3">
      <c r="F291" s="107"/>
      <c r="G291" s="105"/>
    </row>
    <row r="292" spans="6:7" x14ac:dyDescent="0.3">
      <c r="F292" s="107"/>
      <c r="G292" s="105"/>
    </row>
    <row r="293" spans="6:7" x14ac:dyDescent="0.3">
      <c r="F293" s="107"/>
      <c r="G293" s="105"/>
    </row>
    <row r="294" spans="6:7" x14ac:dyDescent="0.3">
      <c r="F294" s="107"/>
      <c r="G294" s="105"/>
    </row>
    <row r="295" spans="6:7" x14ac:dyDescent="0.3">
      <c r="F295" s="107"/>
      <c r="G295" s="105"/>
    </row>
    <row r="296" spans="6:7" x14ac:dyDescent="0.3">
      <c r="F296" s="107"/>
      <c r="G296" s="105"/>
    </row>
    <row r="297" spans="6:7" x14ac:dyDescent="0.3">
      <c r="F297" s="107"/>
      <c r="G297" s="105"/>
    </row>
    <row r="298" spans="6:7" x14ac:dyDescent="0.3">
      <c r="F298" s="107"/>
      <c r="G298" s="105"/>
    </row>
    <row r="299" spans="6:7" x14ac:dyDescent="0.3">
      <c r="F299" s="107"/>
      <c r="G299" s="105"/>
    </row>
    <row r="300" spans="6:7" x14ac:dyDescent="0.3">
      <c r="F300" s="107"/>
      <c r="G300" s="105"/>
    </row>
    <row r="301" spans="6:7" x14ac:dyDescent="0.3">
      <c r="F301" s="107"/>
      <c r="G301" s="105"/>
    </row>
    <row r="302" spans="6:7" x14ac:dyDescent="0.3">
      <c r="F302" s="107"/>
      <c r="G302" s="105"/>
    </row>
    <row r="303" spans="6:7" x14ac:dyDescent="0.3">
      <c r="F303" s="107"/>
      <c r="G303" s="105"/>
    </row>
    <row r="304" spans="6:7" x14ac:dyDescent="0.3">
      <c r="F304" s="107"/>
      <c r="G304" s="105"/>
    </row>
    <row r="305" spans="6:7" x14ac:dyDescent="0.3">
      <c r="F305" s="107"/>
      <c r="G305" s="105"/>
    </row>
    <row r="306" spans="6:7" x14ac:dyDescent="0.3">
      <c r="F306" s="107"/>
      <c r="G306" s="105"/>
    </row>
    <row r="307" spans="6:7" x14ac:dyDescent="0.3">
      <c r="F307" s="107"/>
      <c r="G307" s="105"/>
    </row>
    <row r="308" spans="6:7" x14ac:dyDescent="0.3">
      <c r="F308" s="107"/>
      <c r="G308" s="105"/>
    </row>
    <row r="309" spans="6:7" x14ac:dyDescent="0.3">
      <c r="F309" s="107"/>
      <c r="G309" s="105"/>
    </row>
    <row r="310" spans="6:7" x14ac:dyDescent="0.3">
      <c r="F310" s="107"/>
      <c r="G310" s="105"/>
    </row>
    <row r="311" spans="6:7" x14ac:dyDescent="0.3">
      <c r="F311" s="107"/>
      <c r="G311" s="105"/>
    </row>
    <row r="312" spans="6:7" x14ac:dyDescent="0.3">
      <c r="F312" s="107"/>
      <c r="G312" s="105"/>
    </row>
    <row r="313" spans="6:7" x14ac:dyDescent="0.3">
      <c r="F313" s="107"/>
      <c r="G313" s="105"/>
    </row>
    <row r="314" spans="6:7" x14ac:dyDescent="0.3">
      <c r="F314" s="107"/>
      <c r="G314" s="105"/>
    </row>
    <row r="315" spans="6:7" x14ac:dyDescent="0.3">
      <c r="F315" s="107"/>
      <c r="G315" s="105"/>
    </row>
    <row r="316" spans="6:7" x14ac:dyDescent="0.3">
      <c r="F316" s="107"/>
      <c r="G316" s="105"/>
    </row>
    <row r="317" spans="6:7" x14ac:dyDescent="0.3">
      <c r="F317" s="107"/>
      <c r="G317" s="105"/>
    </row>
    <row r="318" spans="6:7" x14ac:dyDescent="0.3">
      <c r="F318" s="107"/>
      <c r="G318" s="105"/>
    </row>
    <row r="319" spans="6:7" x14ac:dyDescent="0.3">
      <c r="F319" s="107"/>
      <c r="G319" s="105"/>
    </row>
    <row r="320" spans="6:7" x14ac:dyDescent="0.3">
      <c r="F320" s="107"/>
      <c r="G320" s="105"/>
    </row>
    <row r="321" spans="6:7" x14ac:dyDescent="0.3">
      <c r="F321" s="107"/>
      <c r="G321" s="105"/>
    </row>
    <row r="322" spans="6:7" x14ac:dyDescent="0.3">
      <c r="F322" s="107"/>
      <c r="G322" s="105"/>
    </row>
    <row r="323" spans="6:7" x14ac:dyDescent="0.3">
      <c r="F323" s="107"/>
      <c r="G323" s="105"/>
    </row>
    <row r="324" spans="6:7" x14ac:dyDescent="0.3">
      <c r="F324" s="107"/>
      <c r="G324" s="105"/>
    </row>
    <row r="325" spans="6:7" x14ac:dyDescent="0.3">
      <c r="F325" s="107"/>
      <c r="G325" s="105"/>
    </row>
    <row r="326" spans="6:7" x14ac:dyDescent="0.3">
      <c r="F326" s="107"/>
      <c r="G326" s="105"/>
    </row>
    <row r="327" spans="6:7" x14ac:dyDescent="0.3">
      <c r="F327" s="107"/>
      <c r="G327" s="105"/>
    </row>
    <row r="328" spans="6:7" x14ac:dyDescent="0.3">
      <c r="F328" s="107"/>
      <c r="G328" s="105"/>
    </row>
    <row r="329" spans="6:7" x14ac:dyDescent="0.3">
      <c r="F329" s="107"/>
      <c r="G329" s="105"/>
    </row>
    <row r="330" spans="6:7" x14ac:dyDescent="0.3">
      <c r="F330" s="107"/>
      <c r="G330" s="105"/>
    </row>
    <row r="331" spans="6:7" x14ac:dyDescent="0.3">
      <c r="F331" s="107"/>
      <c r="G331" s="105"/>
    </row>
    <row r="332" spans="6:7" x14ac:dyDescent="0.3">
      <c r="F332" s="107"/>
      <c r="G332" s="105"/>
    </row>
    <row r="333" spans="6:7" x14ac:dyDescent="0.3">
      <c r="F333" s="107"/>
      <c r="G333" s="105"/>
    </row>
    <row r="334" spans="6:7" x14ac:dyDescent="0.3">
      <c r="F334" s="107"/>
      <c r="G334" s="105"/>
    </row>
    <row r="335" spans="6:7" x14ac:dyDescent="0.3">
      <c r="F335" s="107"/>
      <c r="G335" s="105"/>
    </row>
    <row r="336" spans="6:7" x14ac:dyDescent="0.3">
      <c r="F336" s="107"/>
      <c r="G336" s="105"/>
    </row>
    <row r="337" spans="6:7" x14ac:dyDescent="0.3">
      <c r="F337" s="107"/>
      <c r="G337" s="105"/>
    </row>
    <row r="338" spans="6:7" x14ac:dyDescent="0.3">
      <c r="F338" s="107"/>
      <c r="G338" s="105"/>
    </row>
    <row r="339" spans="6:7" x14ac:dyDescent="0.3">
      <c r="F339" s="107"/>
      <c r="G339" s="105"/>
    </row>
    <row r="340" spans="6:7" x14ac:dyDescent="0.3">
      <c r="F340" s="107"/>
      <c r="G340" s="105"/>
    </row>
    <row r="341" spans="6:7" x14ac:dyDescent="0.3">
      <c r="F341" s="107"/>
      <c r="G341" s="105"/>
    </row>
    <row r="342" spans="6:7" x14ac:dyDescent="0.3">
      <c r="F342" s="107"/>
      <c r="G342" s="105"/>
    </row>
    <row r="343" spans="6:7" x14ac:dyDescent="0.3">
      <c r="F343" s="107"/>
      <c r="G343" s="105"/>
    </row>
    <row r="344" spans="6:7" x14ac:dyDescent="0.3">
      <c r="F344" s="107"/>
      <c r="G344" s="105"/>
    </row>
    <row r="345" spans="6:7" x14ac:dyDescent="0.3">
      <c r="F345" s="107"/>
      <c r="G345" s="105"/>
    </row>
    <row r="346" spans="6:7" x14ac:dyDescent="0.3">
      <c r="F346" s="107"/>
      <c r="G346" s="105"/>
    </row>
    <row r="347" spans="6:7" x14ac:dyDescent="0.3">
      <c r="F347" s="107"/>
      <c r="G347" s="105"/>
    </row>
    <row r="348" spans="6:7" x14ac:dyDescent="0.3">
      <c r="F348" s="107"/>
      <c r="G348" s="105"/>
    </row>
    <row r="349" spans="6:7" x14ac:dyDescent="0.3">
      <c r="F349" s="107"/>
      <c r="G349" s="105"/>
    </row>
    <row r="350" spans="6:7" x14ac:dyDescent="0.3">
      <c r="F350" s="107"/>
      <c r="G350" s="105"/>
    </row>
    <row r="351" spans="6:7" x14ac:dyDescent="0.3">
      <c r="F351" s="107"/>
      <c r="G351" s="105"/>
    </row>
    <row r="352" spans="6:7" x14ac:dyDescent="0.3">
      <c r="F352" s="107"/>
      <c r="G352" s="105"/>
    </row>
    <row r="353" spans="6:7" x14ac:dyDescent="0.3">
      <c r="F353" s="107"/>
      <c r="G353" s="105"/>
    </row>
    <row r="354" spans="6:7" x14ac:dyDescent="0.3">
      <c r="F354" s="107"/>
      <c r="G354" s="105"/>
    </row>
    <row r="355" spans="6:7" x14ac:dyDescent="0.3">
      <c r="F355" s="107"/>
      <c r="G355" s="105"/>
    </row>
    <row r="356" spans="6:7" x14ac:dyDescent="0.3">
      <c r="F356" s="107"/>
      <c r="G356" s="105"/>
    </row>
    <row r="357" spans="6:7" x14ac:dyDescent="0.3">
      <c r="F357" s="107"/>
      <c r="G357" s="105"/>
    </row>
    <row r="358" spans="6:7" x14ac:dyDescent="0.3">
      <c r="F358" s="107"/>
      <c r="G358" s="105"/>
    </row>
    <row r="359" spans="6:7" x14ac:dyDescent="0.3">
      <c r="F359" s="107"/>
      <c r="G359" s="105"/>
    </row>
    <row r="360" spans="6:7" x14ac:dyDescent="0.3">
      <c r="F360" s="107"/>
      <c r="G360" s="105"/>
    </row>
    <row r="361" spans="6:7" x14ac:dyDescent="0.3">
      <c r="F361" s="107"/>
      <c r="G361" s="105"/>
    </row>
    <row r="362" spans="6:7" x14ac:dyDescent="0.3">
      <c r="F362" s="107"/>
      <c r="G362" s="105"/>
    </row>
    <row r="363" spans="6:7" x14ac:dyDescent="0.3">
      <c r="F363" s="107"/>
      <c r="G363" s="105"/>
    </row>
    <row r="364" spans="6:7" x14ac:dyDescent="0.3">
      <c r="F364" s="107"/>
      <c r="G364" s="105"/>
    </row>
    <row r="365" spans="6:7" x14ac:dyDescent="0.3">
      <c r="F365" s="107"/>
      <c r="G365" s="105"/>
    </row>
    <row r="366" spans="6:7" x14ac:dyDescent="0.3">
      <c r="F366" s="107"/>
      <c r="G366" s="105"/>
    </row>
    <row r="367" spans="6:7" x14ac:dyDescent="0.3">
      <c r="F367" s="107"/>
      <c r="G367" s="105"/>
    </row>
    <row r="368" spans="6:7" x14ac:dyDescent="0.3">
      <c r="F368" s="107"/>
      <c r="G368" s="105"/>
    </row>
    <row r="369" spans="6:7" x14ac:dyDescent="0.3">
      <c r="F369" s="107"/>
      <c r="G369" s="105"/>
    </row>
    <row r="370" spans="6:7" x14ac:dyDescent="0.3">
      <c r="F370" s="107"/>
      <c r="G370" s="105"/>
    </row>
    <row r="371" spans="6:7" x14ac:dyDescent="0.3">
      <c r="F371" s="107"/>
      <c r="G371" s="105"/>
    </row>
    <row r="372" spans="6:7" x14ac:dyDescent="0.3">
      <c r="F372" s="107"/>
      <c r="G372" s="105"/>
    </row>
    <row r="373" spans="6:7" x14ac:dyDescent="0.3">
      <c r="F373" s="107"/>
      <c r="G373" s="105"/>
    </row>
    <row r="374" spans="6:7" x14ac:dyDescent="0.3">
      <c r="F374" s="107"/>
      <c r="G374" s="105"/>
    </row>
    <row r="375" spans="6:7" x14ac:dyDescent="0.3">
      <c r="F375" s="107"/>
      <c r="G375" s="105"/>
    </row>
    <row r="376" spans="6:7" x14ac:dyDescent="0.3">
      <c r="F376" s="107"/>
      <c r="G376" s="105"/>
    </row>
    <row r="377" spans="6:7" x14ac:dyDescent="0.3">
      <c r="F377" s="107"/>
      <c r="G377" s="105"/>
    </row>
    <row r="378" spans="6:7" x14ac:dyDescent="0.3">
      <c r="F378" s="107"/>
      <c r="G378" s="105"/>
    </row>
    <row r="379" spans="6:7" x14ac:dyDescent="0.3">
      <c r="F379" s="107"/>
      <c r="G379" s="105"/>
    </row>
    <row r="380" spans="6:7" x14ac:dyDescent="0.3">
      <c r="F380" s="107"/>
      <c r="G380" s="105"/>
    </row>
    <row r="381" spans="6:7" x14ac:dyDescent="0.3">
      <c r="F381" s="107"/>
      <c r="G381" s="105"/>
    </row>
    <row r="382" spans="6:7" x14ac:dyDescent="0.3">
      <c r="F382" s="107"/>
      <c r="G382" s="105"/>
    </row>
    <row r="383" spans="6:7" x14ac:dyDescent="0.3">
      <c r="F383" s="107"/>
      <c r="G383" s="105"/>
    </row>
    <row r="384" spans="6:7" x14ac:dyDescent="0.3">
      <c r="F384" s="107"/>
      <c r="G384" s="105"/>
    </row>
    <row r="385" spans="6:7" x14ac:dyDescent="0.3">
      <c r="F385" s="107"/>
      <c r="G385" s="105"/>
    </row>
    <row r="386" spans="6:7" x14ac:dyDescent="0.3">
      <c r="F386" s="107"/>
      <c r="G386" s="105"/>
    </row>
    <row r="387" spans="6:7" x14ac:dyDescent="0.3">
      <c r="F387" s="107"/>
      <c r="G387" s="105"/>
    </row>
    <row r="388" spans="6:7" x14ac:dyDescent="0.3">
      <c r="F388" s="107"/>
      <c r="G388" s="105"/>
    </row>
    <row r="389" spans="6:7" x14ac:dyDescent="0.3">
      <c r="F389" s="107"/>
      <c r="G389" s="105"/>
    </row>
    <row r="390" spans="6:7" x14ac:dyDescent="0.3">
      <c r="F390" s="107"/>
      <c r="G390" s="105"/>
    </row>
    <row r="391" spans="6:7" x14ac:dyDescent="0.3">
      <c r="F391" s="107"/>
      <c r="G391" s="105"/>
    </row>
    <row r="392" spans="6:7" x14ac:dyDescent="0.3">
      <c r="F392" s="107"/>
      <c r="G392" s="105"/>
    </row>
    <row r="393" spans="6:7" x14ac:dyDescent="0.3">
      <c r="F393" s="107"/>
      <c r="G393" s="105"/>
    </row>
    <row r="394" spans="6:7" x14ac:dyDescent="0.3">
      <c r="F394" s="107"/>
      <c r="G394" s="105"/>
    </row>
    <row r="395" spans="6:7" x14ac:dyDescent="0.3">
      <c r="F395" s="107"/>
      <c r="G395" s="105"/>
    </row>
    <row r="396" spans="6:7" x14ac:dyDescent="0.3">
      <c r="F396" s="107"/>
      <c r="G396" s="105"/>
    </row>
    <row r="397" spans="6:7" x14ac:dyDescent="0.3">
      <c r="F397" s="107"/>
      <c r="G397" s="105"/>
    </row>
    <row r="398" spans="6:7" x14ac:dyDescent="0.3">
      <c r="F398" s="107"/>
      <c r="G398" s="105"/>
    </row>
    <row r="399" spans="6:7" x14ac:dyDescent="0.3">
      <c r="F399" s="107"/>
      <c r="G399" s="105"/>
    </row>
    <row r="400" spans="6:7" x14ac:dyDescent="0.3">
      <c r="F400" s="107"/>
      <c r="G400" s="105"/>
    </row>
    <row r="401" spans="6:7" x14ac:dyDescent="0.3">
      <c r="F401" s="107"/>
      <c r="G401" s="105"/>
    </row>
    <row r="402" spans="6:7" x14ac:dyDescent="0.3">
      <c r="F402" s="107"/>
      <c r="G402" s="105"/>
    </row>
    <row r="403" spans="6:7" x14ac:dyDescent="0.3">
      <c r="F403" s="107"/>
      <c r="G403" s="105"/>
    </row>
    <row r="404" spans="6:7" x14ac:dyDescent="0.3">
      <c r="F404" s="107"/>
      <c r="G404" s="105"/>
    </row>
    <row r="405" spans="6:7" x14ac:dyDescent="0.3">
      <c r="F405" s="107"/>
      <c r="G405" s="105"/>
    </row>
    <row r="406" spans="6:7" x14ac:dyDescent="0.3">
      <c r="F406" s="107"/>
      <c r="G406" s="105"/>
    </row>
    <row r="407" spans="6:7" x14ac:dyDescent="0.3">
      <c r="F407" s="107"/>
      <c r="G407" s="105"/>
    </row>
    <row r="408" spans="6:7" x14ac:dyDescent="0.3">
      <c r="F408" s="107"/>
      <c r="G408" s="105"/>
    </row>
    <row r="409" spans="6:7" x14ac:dyDescent="0.3">
      <c r="F409" s="107"/>
      <c r="G409" s="105"/>
    </row>
    <row r="410" spans="6:7" x14ac:dyDescent="0.3">
      <c r="F410" s="107"/>
      <c r="G410" s="105"/>
    </row>
    <row r="411" spans="6:7" x14ac:dyDescent="0.3">
      <c r="F411" s="107"/>
      <c r="G411" s="105"/>
    </row>
    <row r="412" spans="6:7" x14ac:dyDescent="0.3">
      <c r="F412" s="107"/>
      <c r="G412" s="105"/>
    </row>
    <row r="413" spans="6:7" x14ac:dyDescent="0.3">
      <c r="F413" s="107"/>
      <c r="G413" s="105"/>
    </row>
    <row r="414" spans="6:7" x14ac:dyDescent="0.3">
      <c r="F414" s="107"/>
      <c r="G414" s="105"/>
    </row>
    <row r="415" spans="6:7" x14ac:dyDescent="0.3">
      <c r="F415" s="107"/>
      <c r="G415" s="105"/>
    </row>
    <row r="416" spans="6:7" x14ac:dyDescent="0.3">
      <c r="F416" s="107"/>
      <c r="G416" s="105"/>
    </row>
    <row r="417" spans="6:7" x14ac:dyDescent="0.3">
      <c r="F417" s="107"/>
      <c r="G417" s="105"/>
    </row>
    <row r="418" spans="6:7" x14ac:dyDescent="0.3">
      <c r="F418" s="107"/>
      <c r="G418" s="105"/>
    </row>
    <row r="419" spans="6:7" x14ac:dyDescent="0.3">
      <c r="F419" s="107"/>
      <c r="G419" s="105"/>
    </row>
    <row r="420" spans="6:7" x14ac:dyDescent="0.3">
      <c r="F420" s="107"/>
      <c r="G420" s="105"/>
    </row>
    <row r="421" spans="6:7" x14ac:dyDescent="0.3">
      <c r="F421" s="107"/>
      <c r="G421" s="105"/>
    </row>
    <row r="422" spans="6:7" x14ac:dyDescent="0.3">
      <c r="F422" s="107"/>
      <c r="G422" s="105"/>
    </row>
    <row r="423" spans="6:7" x14ac:dyDescent="0.3">
      <c r="F423" s="107"/>
      <c r="G423" s="105"/>
    </row>
    <row r="424" spans="6:7" x14ac:dyDescent="0.3">
      <c r="F424" s="107"/>
      <c r="G424" s="105"/>
    </row>
    <row r="425" spans="6:7" x14ac:dyDescent="0.3">
      <c r="F425" s="107"/>
      <c r="G425" s="105"/>
    </row>
    <row r="426" spans="6:7" x14ac:dyDescent="0.3">
      <c r="F426" s="107"/>
      <c r="G426" s="105"/>
    </row>
    <row r="427" spans="6:7" x14ac:dyDescent="0.3">
      <c r="F427" s="107"/>
      <c r="G427" s="105"/>
    </row>
    <row r="428" spans="6:7" x14ac:dyDescent="0.3">
      <c r="F428" s="107"/>
      <c r="G428" s="105"/>
    </row>
    <row r="429" spans="6:7" x14ac:dyDescent="0.3">
      <c r="F429" s="107"/>
      <c r="G429" s="105"/>
    </row>
    <row r="430" spans="6:7" x14ac:dyDescent="0.3">
      <c r="F430" s="107"/>
      <c r="G430" s="105"/>
    </row>
    <row r="431" spans="6:7" x14ac:dyDescent="0.3">
      <c r="F431" s="107"/>
      <c r="G431" s="105"/>
    </row>
    <row r="432" spans="6:7" x14ac:dyDescent="0.3">
      <c r="F432" s="107"/>
      <c r="G432" s="105"/>
    </row>
    <row r="433" spans="6:7" x14ac:dyDescent="0.3">
      <c r="F433" s="107"/>
      <c r="G433" s="105"/>
    </row>
    <row r="434" spans="6:7" x14ac:dyDescent="0.3">
      <c r="F434" s="107"/>
      <c r="G434" s="105"/>
    </row>
    <row r="435" spans="6:7" x14ac:dyDescent="0.3">
      <c r="F435" s="107"/>
      <c r="G435" s="105"/>
    </row>
    <row r="436" spans="6:7" x14ac:dyDescent="0.3">
      <c r="F436" s="107"/>
      <c r="G436" s="105"/>
    </row>
    <row r="437" spans="6:7" x14ac:dyDescent="0.3">
      <c r="F437" s="107"/>
      <c r="G437" s="105"/>
    </row>
    <row r="438" spans="6:7" x14ac:dyDescent="0.3">
      <c r="F438" s="107"/>
      <c r="G438" s="105"/>
    </row>
    <row r="439" spans="6:7" x14ac:dyDescent="0.3">
      <c r="F439" s="107"/>
      <c r="G439" s="105"/>
    </row>
    <row r="440" spans="6:7" x14ac:dyDescent="0.3">
      <c r="F440" s="107"/>
      <c r="G440" s="105"/>
    </row>
    <row r="441" spans="6:7" x14ac:dyDescent="0.3">
      <c r="F441" s="107"/>
      <c r="G441" s="105"/>
    </row>
    <row r="442" spans="6:7" x14ac:dyDescent="0.3">
      <c r="F442" s="107"/>
      <c r="G442" s="105"/>
    </row>
    <row r="443" spans="6:7" x14ac:dyDescent="0.3">
      <c r="F443" s="107"/>
      <c r="G443" s="105"/>
    </row>
    <row r="444" spans="6:7" x14ac:dyDescent="0.3">
      <c r="F444" s="107"/>
      <c r="G444" s="105"/>
    </row>
    <row r="445" spans="6:7" x14ac:dyDescent="0.3">
      <c r="F445" s="107"/>
      <c r="G445" s="105"/>
    </row>
    <row r="446" spans="6:7" x14ac:dyDescent="0.3">
      <c r="F446" s="107"/>
      <c r="G446" s="105"/>
    </row>
    <row r="447" spans="6:7" x14ac:dyDescent="0.3">
      <c r="F447" s="107"/>
      <c r="G447" s="105"/>
    </row>
    <row r="448" spans="6:7" x14ac:dyDescent="0.3">
      <c r="F448" s="107"/>
      <c r="G448" s="105"/>
    </row>
    <row r="449" spans="6:7" x14ac:dyDescent="0.3">
      <c r="F449" s="107"/>
      <c r="G449" s="105"/>
    </row>
    <row r="450" spans="6:7" x14ac:dyDescent="0.3">
      <c r="F450" s="107"/>
      <c r="G450" s="105"/>
    </row>
    <row r="451" spans="6:7" x14ac:dyDescent="0.3">
      <c r="F451" s="107"/>
      <c r="G451" s="105"/>
    </row>
    <row r="452" spans="6:7" x14ac:dyDescent="0.3">
      <c r="F452" s="107"/>
      <c r="G452" s="105"/>
    </row>
    <row r="453" spans="6:7" x14ac:dyDescent="0.3">
      <c r="F453" s="107"/>
      <c r="G453" s="105"/>
    </row>
    <row r="454" spans="6:7" x14ac:dyDescent="0.3">
      <c r="F454" s="107"/>
      <c r="G454" s="105"/>
    </row>
    <row r="455" spans="6:7" x14ac:dyDescent="0.3">
      <c r="F455" s="107"/>
      <c r="G455" s="105"/>
    </row>
    <row r="456" spans="6:7" x14ac:dyDescent="0.3">
      <c r="F456" s="107"/>
      <c r="G456" s="105"/>
    </row>
    <row r="457" spans="6:7" x14ac:dyDescent="0.3">
      <c r="F457" s="107"/>
      <c r="G457" s="105"/>
    </row>
    <row r="458" spans="6:7" x14ac:dyDescent="0.3">
      <c r="F458" s="107"/>
      <c r="G458" s="105"/>
    </row>
    <row r="459" spans="6:7" x14ac:dyDescent="0.3">
      <c r="F459" s="107"/>
      <c r="G459" s="105"/>
    </row>
    <row r="460" spans="6:7" x14ac:dyDescent="0.3">
      <c r="F460" s="107"/>
      <c r="G460" s="105"/>
    </row>
    <row r="461" spans="6:7" x14ac:dyDescent="0.3">
      <c r="F461" s="107"/>
      <c r="G461" s="105"/>
    </row>
    <row r="462" spans="6:7" x14ac:dyDescent="0.3">
      <c r="F462" s="107"/>
      <c r="G462" s="105"/>
    </row>
    <row r="463" spans="6:7" x14ac:dyDescent="0.3">
      <c r="F463" s="107"/>
      <c r="G463" s="105"/>
    </row>
    <row r="464" spans="6:7" x14ac:dyDescent="0.3">
      <c r="F464" s="107"/>
      <c r="G464" s="105"/>
    </row>
    <row r="465" spans="6:7" x14ac:dyDescent="0.3">
      <c r="F465" s="107"/>
      <c r="G465" s="105"/>
    </row>
    <row r="466" spans="6:7" x14ac:dyDescent="0.3">
      <c r="F466" s="107"/>
      <c r="G466" s="105"/>
    </row>
    <row r="467" spans="6:7" x14ac:dyDescent="0.3">
      <c r="F467" s="107"/>
      <c r="G467" s="105"/>
    </row>
    <row r="468" spans="6:7" x14ac:dyDescent="0.3">
      <c r="F468" s="107"/>
      <c r="G468" s="105"/>
    </row>
    <row r="469" spans="6:7" x14ac:dyDescent="0.3">
      <c r="F469" s="107"/>
      <c r="G469" s="105"/>
    </row>
    <row r="470" spans="6:7" x14ac:dyDescent="0.3">
      <c r="F470" s="107"/>
      <c r="G470" s="105"/>
    </row>
    <row r="471" spans="6:7" x14ac:dyDescent="0.3">
      <c r="F471" s="107"/>
      <c r="G471" s="105"/>
    </row>
    <row r="472" spans="6:7" x14ac:dyDescent="0.3">
      <c r="F472" s="107"/>
      <c r="G472" s="105"/>
    </row>
    <row r="473" spans="6:7" x14ac:dyDescent="0.3">
      <c r="F473" s="107"/>
      <c r="G473" s="105"/>
    </row>
    <row r="474" spans="6:7" x14ac:dyDescent="0.3">
      <c r="F474" s="107"/>
      <c r="G474" s="105"/>
    </row>
    <row r="475" spans="6:7" x14ac:dyDescent="0.3">
      <c r="F475" s="107"/>
      <c r="G475" s="105"/>
    </row>
    <row r="476" spans="6:7" x14ac:dyDescent="0.3">
      <c r="F476" s="107"/>
      <c r="G476" s="105"/>
    </row>
    <row r="477" spans="6:7" x14ac:dyDescent="0.3">
      <c r="F477" s="107"/>
      <c r="G477" s="105"/>
    </row>
    <row r="478" spans="6:7" x14ac:dyDescent="0.3">
      <c r="F478" s="107"/>
      <c r="G478" s="105"/>
    </row>
    <row r="479" spans="6:7" x14ac:dyDescent="0.3">
      <c r="F479" s="107"/>
      <c r="G479" s="105"/>
    </row>
    <row r="480" spans="6:7" x14ac:dyDescent="0.3">
      <c r="F480" s="107"/>
      <c r="G480" s="105"/>
    </row>
    <row r="481" spans="6:7" x14ac:dyDescent="0.3">
      <c r="F481" s="107"/>
      <c r="G481" s="105"/>
    </row>
    <row r="482" spans="6:7" x14ac:dyDescent="0.3">
      <c r="F482" s="107"/>
      <c r="G482" s="105"/>
    </row>
    <row r="483" spans="6:7" x14ac:dyDescent="0.3">
      <c r="F483" s="107"/>
      <c r="G483" s="105"/>
    </row>
    <row r="484" spans="6:7" x14ac:dyDescent="0.3">
      <c r="F484" s="107"/>
      <c r="G484" s="105"/>
    </row>
    <row r="485" spans="6:7" x14ac:dyDescent="0.3">
      <c r="F485" s="107"/>
      <c r="G485" s="105"/>
    </row>
    <row r="486" spans="6:7" x14ac:dyDescent="0.3">
      <c r="F486" s="107"/>
      <c r="G486" s="105"/>
    </row>
    <row r="487" spans="6:7" x14ac:dyDescent="0.3">
      <c r="F487" s="107"/>
      <c r="G487" s="105"/>
    </row>
    <row r="488" spans="6:7" x14ac:dyDescent="0.3">
      <c r="F488" s="107"/>
      <c r="G488" s="105"/>
    </row>
    <row r="489" spans="6:7" x14ac:dyDescent="0.3">
      <c r="F489" s="107"/>
      <c r="G489" s="105"/>
    </row>
    <row r="490" spans="6:7" x14ac:dyDescent="0.3">
      <c r="F490" s="107"/>
      <c r="G490" s="105"/>
    </row>
    <row r="491" spans="6:7" x14ac:dyDescent="0.3">
      <c r="F491" s="107"/>
      <c r="G491" s="105"/>
    </row>
    <row r="492" spans="6:7" x14ac:dyDescent="0.3">
      <c r="F492" s="107"/>
      <c r="G492" s="105"/>
    </row>
    <row r="493" spans="6:7" x14ac:dyDescent="0.3">
      <c r="F493" s="107"/>
      <c r="G493" s="105"/>
    </row>
    <row r="494" spans="6:7" x14ac:dyDescent="0.3">
      <c r="F494" s="107"/>
      <c r="G494" s="105"/>
    </row>
    <row r="495" spans="6:7" x14ac:dyDescent="0.3">
      <c r="F495" s="107"/>
      <c r="G495" s="105"/>
    </row>
    <row r="496" spans="6:7" x14ac:dyDescent="0.3">
      <c r="F496" s="107"/>
      <c r="G496" s="105"/>
    </row>
    <row r="497" spans="6:7" x14ac:dyDescent="0.3">
      <c r="F497" s="107"/>
      <c r="G497" s="105"/>
    </row>
    <row r="498" spans="6:7" x14ac:dyDescent="0.3">
      <c r="F498" s="107"/>
      <c r="G498" s="105"/>
    </row>
    <row r="499" spans="6:7" x14ac:dyDescent="0.3">
      <c r="F499" s="107"/>
      <c r="G499" s="105"/>
    </row>
    <row r="500" spans="6:7" x14ac:dyDescent="0.3">
      <c r="F500" s="107"/>
      <c r="G500" s="105"/>
    </row>
    <row r="501" spans="6:7" x14ac:dyDescent="0.3">
      <c r="F501" s="107"/>
      <c r="G501" s="105"/>
    </row>
    <row r="502" spans="6:7" x14ac:dyDescent="0.3">
      <c r="F502" s="107"/>
      <c r="G502" s="105"/>
    </row>
    <row r="503" spans="6:7" x14ac:dyDescent="0.3">
      <c r="F503" s="107"/>
      <c r="G503" s="105"/>
    </row>
    <row r="504" spans="6:7" x14ac:dyDescent="0.3">
      <c r="F504" s="107"/>
      <c r="G504" s="105"/>
    </row>
    <row r="505" spans="6:7" x14ac:dyDescent="0.3">
      <c r="F505" s="107"/>
      <c r="G505" s="105"/>
    </row>
    <row r="506" spans="6:7" x14ac:dyDescent="0.3">
      <c r="F506" s="107"/>
      <c r="G506" s="105"/>
    </row>
    <row r="507" spans="6:7" x14ac:dyDescent="0.3">
      <c r="F507" s="107"/>
      <c r="G507" s="105"/>
    </row>
    <row r="508" spans="6:7" x14ac:dyDescent="0.3">
      <c r="F508" s="107"/>
      <c r="G508" s="105"/>
    </row>
    <row r="509" spans="6:7" x14ac:dyDescent="0.3">
      <c r="F509" s="107"/>
      <c r="G509" s="105"/>
    </row>
    <row r="510" spans="6:7" x14ac:dyDescent="0.3">
      <c r="F510" s="107"/>
      <c r="G510" s="105"/>
    </row>
    <row r="511" spans="6:7" x14ac:dyDescent="0.3">
      <c r="F511" s="107"/>
      <c r="G511" s="105"/>
    </row>
    <row r="512" spans="6:7" x14ac:dyDescent="0.3">
      <c r="F512" s="107"/>
      <c r="G512" s="105"/>
    </row>
    <row r="513" spans="6:7" x14ac:dyDescent="0.3">
      <c r="F513" s="107"/>
      <c r="G513" s="105"/>
    </row>
    <row r="514" spans="6:7" x14ac:dyDescent="0.3">
      <c r="F514" s="107"/>
      <c r="G514" s="105"/>
    </row>
    <row r="515" spans="6:7" x14ac:dyDescent="0.3">
      <c r="F515" s="107"/>
      <c r="G515" s="105"/>
    </row>
    <row r="516" spans="6:7" x14ac:dyDescent="0.3">
      <c r="F516" s="107"/>
      <c r="G516" s="105"/>
    </row>
    <row r="517" spans="6:7" x14ac:dyDescent="0.3">
      <c r="F517" s="107"/>
      <c r="G517" s="105"/>
    </row>
    <row r="518" spans="6:7" x14ac:dyDescent="0.3">
      <c r="F518" s="107"/>
      <c r="G518" s="105"/>
    </row>
    <row r="519" spans="6:7" x14ac:dyDescent="0.3">
      <c r="F519" s="107"/>
      <c r="G519" s="105"/>
    </row>
    <row r="520" spans="6:7" x14ac:dyDescent="0.3">
      <c r="F520" s="107"/>
      <c r="G520" s="105"/>
    </row>
    <row r="521" spans="6:7" x14ac:dyDescent="0.3">
      <c r="F521" s="107"/>
      <c r="G521" s="105"/>
    </row>
    <row r="522" spans="6:7" x14ac:dyDescent="0.3">
      <c r="F522" s="107"/>
      <c r="G522" s="105"/>
    </row>
    <row r="523" spans="6:7" x14ac:dyDescent="0.3">
      <c r="F523" s="107"/>
      <c r="G523" s="105"/>
    </row>
    <row r="524" spans="6:7" x14ac:dyDescent="0.3">
      <c r="F524" s="107"/>
      <c r="G524" s="105"/>
    </row>
    <row r="525" spans="6:7" x14ac:dyDescent="0.3">
      <c r="F525" s="107"/>
      <c r="G525" s="105"/>
    </row>
    <row r="526" spans="6:7" x14ac:dyDescent="0.3">
      <c r="F526" s="107"/>
      <c r="G526" s="105"/>
    </row>
    <row r="527" spans="6:7" x14ac:dyDescent="0.3">
      <c r="F527" s="107"/>
      <c r="G527" s="105"/>
    </row>
    <row r="528" spans="6:7" x14ac:dyDescent="0.3">
      <c r="F528" s="107"/>
      <c r="G528" s="105"/>
    </row>
    <row r="529" spans="6:7" x14ac:dyDescent="0.3">
      <c r="F529" s="107"/>
      <c r="G529" s="105"/>
    </row>
    <row r="530" spans="6:7" x14ac:dyDescent="0.3">
      <c r="F530" s="107"/>
      <c r="G530" s="105"/>
    </row>
    <row r="531" spans="6:7" x14ac:dyDescent="0.3">
      <c r="F531" s="107"/>
      <c r="G531" s="105"/>
    </row>
    <row r="532" spans="6:7" x14ac:dyDescent="0.3">
      <c r="F532" s="107"/>
      <c r="G532" s="105"/>
    </row>
    <row r="533" spans="6:7" x14ac:dyDescent="0.3">
      <c r="F533" s="107"/>
      <c r="G533" s="105"/>
    </row>
    <row r="534" spans="6:7" x14ac:dyDescent="0.3">
      <c r="F534" s="107"/>
      <c r="G534" s="105"/>
    </row>
    <row r="535" spans="6:7" x14ac:dyDescent="0.3">
      <c r="F535" s="107"/>
      <c r="G535" s="105"/>
    </row>
    <row r="536" spans="6:7" x14ac:dyDescent="0.3">
      <c r="F536" s="107"/>
      <c r="G536" s="105"/>
    </row>
    <row r="537" spans="6:7" x14ac:dyDescent="0.3">
      <c r="F537" s="107"/>
      <c r="G537" s="105"/>
    </row>
    <row r="538" spans="6:7" x14ac:dyDescent="0.3">
      <c r="F538" s="107"/>
      <c r="G538" s="105"/>
    </row>
    <row r="539" spans="6:7" x14ac:dyDescent="0.3">
      <c r="F539" s="107"/>
      <c r="G539" s="105"/>
    </row>
    <row r="540" spans="6:7" x14ac:dyDescent="0.3">
      <c r="F540" s="107"/>
      <c r="G540" s="105"/>
    </row>
    <row r="541" spans="6:7" x14ac:dyDescent="0.3">
      <c r="F541" s="107"/>
      <c r="G541" s="105"/>
    </row>
    <row r="542" spans="6:7" x14ac:dyDescent="0.3">
      <c r="F542" s="107"/>
      <c r="G542" s="105"/>
    </row>
    <row r="543" spans="6:7" x14ac:dyDescent="0.3">
      <c r="F543" s="107"/>
      <c r="G543" s="105"/>
    </row>
    <row r="544" spans="6:7" x14ac:dyDescent="0.3">
      <c r="F544" s="107"/>
      <c r="G544" s="105"/>
    </row>
    <row r="545" spans="6:7" x14ac:dyDescent="0.3">
      <c r="F545" s="107"/>
      <c r="G545" s="105"/>
    </row>
    <row r="546" spans="6:7" x14ac:dyDescent="0.3">
      <c r="F546" s="107"/>
      <c r="G546" s="105"/>
    </row>
    <row r="547" spans="6:7" x14ac:dyDescent="0.3">
      <c r="F547" s="107"/>
      <c r="G547" s="105"/>
    </row>
    <row r="548" spans="6:7" x14ac:dyDescent="0.3">
      <c r="F548" s="107"/>
      <c r="G548" s="105"/>
    </row>
    <row r="549" spans="6:7" x14ac:dyDescent="0.3">
      <c r="F549" s="107"/>
      <c r="G549" s="105"/>
    </row>
    <row r="550" spans="6:7" x14ac:dyDescent="0.3">
      <c r="F550" s="107"/>
      <c r="G550" s="105"/>
    </row>
    <row r="551" spans="6:7" x14ac:dyDescent="0.3">
      <c r="F551" s="107"/>
      <c r="G551" s="105"/>
    </row>
    <row r="552" spans="6:7" x14ac:dyDescent="0.3">
      <c r="F552" s="107"/>
      <c r="G552" s="105"/>
    </row>
    <row r="553" spans="6:7" x14ac:dyDescent="0.3">
      <c r="F553" s="107"/>
      <c r="G553" s="105"/>
    </row>
    <row r="554" spans="6:7" x14ac:dyDescent="0.3">
      <c r="F554" s="107"/>
      <c r="G554" s="105"/>
    </row>
    <row r="555" spans="6:7" x14ac:dyDescent="0.3">
      <c r="F555" s="107"/>
      <c r="G555" s="105"/>
    </row>
    <row r="556" spans="6:7" x14ac:dyDescent="0.3">
      <c r="F556" s="107"/>
      <c r="G556" s="105"/>
    </row>
    <row r="557" spans="6:7" x14ac:dyDescent="0.3">
      <c r="F557" s="107"/>
      <c r="G557" s="105"/>
    </row>
    <row r="558" spans="6:7" x14ac:dyDescent="0.3">
      <c r="F558" s="107"/>
      <c r="G558" s="105"/>
    </row>
    <row r="559" spans="6:7" x14ac:dyDescent="0.3">
      <c r="F559" s="107"/>
      <c r="G559" s="105"/>
    </row>
    <row r="560" spans="6:7" x14ac:dyDescent="0.3">
      <c r="F560" s="107"/>
      <c r="G560" s="105"/>
    </row>
    <row r="561" spans="6:7" x14ac:dyDescent="0.3">
      <c r="F561" s="107"/>
      <c r="G561" s="105"/>
    </row>
    <row r="562" spans="6:7" x14ac:dyDescent="0.3">
      <c r="F562" s="107"/>
      <c r="G562" s="105"/>
    </row>
    <row r="563" spans="6:7" x14ac:dyDescent="0.3">
      <c r="F563" s="107"/>
      <c r="G563" s="105"/>
    </row>
    <row r="564" spans="6:7" x14ac:dyDescent="0.3">
      <c r="F564" s="107"/>
      <c r="G564" s="105"/>
    </row>
    <row r="565" spans="6:7" x14ac:dyDescent="0.3">
      <c r="F565" s="107"/>
      <c r="G565" s="105"/>
    </row>
    <row r="566" spans="6:7" x14ac:dyDescent="0.3">
      <c r="F566" s="107"/>
      <c r="G566" s="105"/>
    </row>
    <row r="567" spans="6:7" x14ac:dyDescent="0.3">
      <c r="F567" s="107"/>
      <c r="G567" s="105"/>
    </row>
    <row r="568" spans="6:7" x14ac:dyDescent="0.3">
      <c r="F568" s="107"/>
      <c r="G568" s="105"/>
    </row>
    <row r="569" spans="6:7" x14ac:dyDescent="0.3">
      <c r="F569" s="107"/>
      <c r="G569" s="105"/>
    </row>
    <row r="570" spans="6:7" x14ac:dyDescent="0.3">
      <c r="F570" s="107"/>
      <c r="G570" s="105"/>
    </row>
    <row r="571" spans="6:7" x14ac:dyDescent="0.3">
      <c r="F571" s="107"/>
      <c r="G571" s="105"/>
    </row>
    <row r="572" spans="6:7" x14ac:dyDescent="0.3">
      <c r="F572" s="107"/>
      <c r="G572" s="105"/>
    </row>
    <row r="573" spans="6:7" x14ac:dyDescent="0.3">
      <c r="F573" s="107"/>
      <c r="G573" s="105"/>
    </row>
    <row r="574" spans="6:7" x14ac:dyDescent="0.3">
      <c r="F574" s="107"/>
      <c r="G574" s="105"/>
    </row>
    <row r="575" spans="6:7" x14ac:dyDescent="0.3">
      <c r="F575" s="107"/>
      <c r="G575" s="105"/>
    </row>
    <row r="576" spans="6:7" x14ac:dyDescent="0.3">
      <c r="F576" s="107"/>
      <c r="G576" s="105"/>
    </row>
    <row r="577" spans="6:7" x14ac:dyDescent="0.3">
      <c r="F577" s="107"/>
      <c r="G577" s="105"/>
    </row>
    <row r="578" spans="6:7" x14ac:dyDescent="0.3">
      <c r="F578" s="107"/>
      <c r="G578" s="105"/>
    </row>
    <row r="579" spans="6:7" x14ac:dyDescent="0.3">
      <c r="F579" s="107"/>
      <c r="G579" s="105"/>
    </row>
    <row r="580" spans="6:7" x14ac:dyDescent="0.3">
      <c r="F580" s="107"/>
      <c r="G580" s="105"/>
    </row>
    <row r="581" spans="6:7" x14ac:dyDescent="0.3">
      <c r="F581" s="107"/>
      <c r="G581" s="105"/>
    </row>
    <row r="582" spans="6:7" x14ac:dyDescent="0.3">
      <c r="F582" s="107"/>
      <c r="G582" s="105"/>
    </row>
    <row r="583" spans="6:7" x14ac:dyDescent="0.3">
      <c r="F583" s="107"/>
      <c r="G583" s="105"/>
    </row>
    <row r="584" spans="6:7" x14ac:dyDescent="0.3">
      <c r="F584" s="107"/>
      <c r="G584" s="105"/>
    </row>
    <row r="585" spans="6:7" x14ac:dyDescent="0.3">
      <c r="F585" s="107"/>
      <c r="G585" s="105"/>
    </row>
    <row r="586" spans="6:7" x14ac:dyDescent="0.3">
      <c r="F586" s="107"/>
      <c r="G586" s="105"/>
    </row>
    <row r="587" spans="6:7" x14ac:dyDescent="0.3">
      <c r="F587" s="107"/>
      <c r="G587" s="105"/>
    </row>
    <row r="588" spans="6:7" x14ac:dyDescent="0.3">
      <c r="F588" s="107"/>
      <c r="G588" s="105"/>
    </row>
    <row r="589" spans="6:7" x14ac:dyDescent="0.3">
      <c r="F589" s="107"/>
      <c r="G589" s="105"/>
    </row>
    <row r="590" spans="6:7" x14ac:dyDescent="0.3">
      <c r="F590" s="107"/>
      <c r="G590" s="105"/>
    </row>
    <row r="591" spans="6:7" x14ac:dyDescent="0.3">
      <c r="F591" s="107"/>
      <c r="G591" s="105"/>
    </row>
    <row r="592" spans="6:7" x14ac:dyDescent="0.3">
      <c r="F592" s="107"/>
      <c r="G592" s="105"/>
    </row>
    <row r="593" spans="6:7" x14ac:dyDescent="0.3">
      <c r="F593" s="107"/>
      <c r="G593" s="105"/>
    </row>
    <row r="594" spans="6:7" x14ac:dyDescent="0.3">
      <c r="F594" s="107"/>
      <c r="G594" s="105"/>
    </row>
    <row r="595" spans="6:7" x14ac:dyDescent="0.3">
      <c r="F595" s="107"/>
      <c r="G595" s="105"/>
    </row>
    <row r="596" spans="6:7" x14ac:dyDescent="0.3">
      <c r="F596" s="107"/>
      <c r="G596" s="105"/>
    </row>
    <row r="597" spans="6:7" x14ac:dyDescent="0.3">
      <c r="F597" s="107"/>
      <c r="G597" s="105"/>
    </row>
    <row r="598" spans="6:7" x14ac:dyDescent="0.3">
      <c r="F598" s="107"/>
      <c r="G598" s="105"/>
    </row>
    <row r="599" spans="6:7" x14ac:dyDescent="0.3">
      <c r="F599" s="107"/>
      <c r="G599" s="105"/>
    </row>
    <row r="600" spans="6:7" x14ac:dyDescent="0.3">
      <c r="F600" s="107"/>
      <c r="G600" s="105"/>
    </row>
    <row r="601" spans="6:7" x14ac:dyDescent="0.3">
      <c r="F601" s="107"/>
      <c r="G601" s="105"/>
    </row>
    <row r="602" spans="6:7" x14ac:dyDescent="0.3">
      <c r="F602" s="107"/>
      <c r="G602" s="105"/>
    </row>
    <row r="603" spans="6:7" x14ac:dyDescent="0.3">
      <c r="F603" s="107"/>
      <c r="G603" s="105"/>
    </row>
    <row r="604" spans="6:7" x14ac:dyDescent="0.3">
      <c r="F604" s="107"/>
      <c r="G604" s="105"/>
    </row>
    <row r="605" spans="6:7" x14ac:dyDescent="0.3">
      <c r="F605" s="107"/>
      <c r="G605" s="105"/>
    </row>
    <row r="606" spans="6:7" x14ac:dyDescent="0.3">
      <c r="F606" s="107"/>
      <c r="G606" s="105"/>
    </row>
    <row r="607" spans="6:7" x14ac:dyDescent="0.3">
      <c r="F607" s="107"/>
      <c r="G607" s="105"/>
    </row>
    <row r="608" spans="6:7" x14ac:dyDescent="0.3">
      <c r="F608" s="107"/>
      <c r="G608" s="105"/>
    </row>
    <row r="609" spans="6:7" x14ac:dyDescent="0.3">
      <c r="F609" s="107"/>
      <c r="G609" s="105"/>
    </row>
    <row r="610" spans="6:7" x14ac:dyDescent="0.3">
      <c r="F610" s="107"/>
      <c r="G610" s="105"/>
    </row>
    <row r="611" spans="6:7" x14ac:dyDescent="0.3">
      <c r="F611" s="107"/>
      <c r="G611" s="105"/>
    </row>
    <row r="612" spans="6:7" x14ac:dyDescent="0.3">
      <c r="F612" s="107"/>
      <c r="G612" s="105"/>
    </row>
    <row r="613" spans="6:7" x14ac:dyDescent="0.3">
      <c r="F613" s="107"/>
      <c r="G613" s="105"/>
    </row>
    <row r="614" spans="6:7" x14ac:dyDescent="0.3">
      <c r="F614" s="107"/>
      <c r="G614" s="105"/>
    </row>
    <row r="615" spans="6:7" x14ac:dyDescent="0.3">
      <c r="F615" s="107"/>
      <c r="G615" s="105"/>
    </row>
    <row r="616" spans="6:7" x14ac:dyDescent="0.3">
      <c r="F616" s="107"/>
      <c r="G616" s="105"/>
    </row>
    <row r="617" spans="6:7" x14ac:dyDescent="0.3">
      <c r="F617" s="107"/>
      <c r="G617" s="105"/>
    </row>
    <row r="618" spans="6:7" x14ac:dyDescent="0.3">
      <c r="F618" s="107"/>
      <c r="G618" s="105"/>
    </row>
    <row r="619" spans="6:7" x14ac:dyDescent="0.3">
      <c r="F619" s="107"/>
      <c r="G619" s="105"/>
    </row>
    <row r="620" spans="6:7" x14ac:dyDescent="0.3">
      <c r="F620" s="107"/>
      <c r="G620" s="105"/>
    </row>
    <row r="621" spans="6:7" x14ac:dyDescent="0.3">
      <c r="F621" s="107"/>
      <c r="G621" s="105"/>
    </row>
    <row r="622" spans="6:7" x14ac:dyDescent="0.3">
      <c r="F622" s="107"/>
      <c r="G622" s="105"/>
    </row>
    <row r="623" spans="6:7" x14ac:dyDescent="0.3">
      <c r="F623" s="107"/>
      <c r="G623" s="105"/>
    </row>
    <row r="624" spans="6:7" x14ac:dyDescent="0.3">
      <c r="F624" s="107"/>
      <c r="G624" s="105"/>
    </row>
    <row r="625" spans="6:7" x14ac:dyDescent="0.3">
      <c r="F625" s="107"/>
      <c r="G625" s="105"/>
    </row>
    <row r="626" spans="6:7" x14ac:dyDescent="0.3">
      <c r="F626" s="107"/>
      <c r="G626" s="105"/>
    </row>
    <row r="627" spans="6:7" x14ac:dyDescent="0.3">
      <c r="F627" s="107"/>
      <c r="G627" s="105"/>
    </row>
    <row r="628" spans="6:7" x14ac:dyDescent="0.3">
      <c r="F628" s="107"/>
      <c r="G628" s="105"/>
    </row>
    <row r="629" spans="6:7" x14ac:dyDescent="0.3">
      <c r="F629" s="107"/>
      <c r="G629" s="105"/>
    </row>
    <row r="630" spans="6:7" x14ac:dyDescent="0.3">
      <c r="F630" s="107"/>
      <c r="G630" s="105"/>
    </row>
    <row r="631" spans="6:7" x14ac:dyDescent="0.3">
      <c r="F631" s="107"/>
      <c r="G631" s="105"/>
    </row>
    <row r="632" spans="6:7" x14ac:dyDescent="0.3">
      <c r="F632" s="107"/>
      <c r="G632" s="105"/>
    </row>
    <row r="633" spans="6:7" x14ac:dyDescent="0.3">
      <c r="F633" s="107"/>
      <c r="G633" s="105"/>
    </row>
    <row r="634" spans="6:7" x14ac:dyDescent="0.3">
      <c r="F634" s="107"/>
      <c r="G634" s="105"/>
    </row>
    <row r="635" spans="6:7" x14ac:dyDescent="0.3">
      <c r="F635" s="107"/>
      <c r="G635" s="105"/>
    </row>
    <row r="636" spans="6:7" x14ac:dyDescent="0.3">
      <c r="F636" s="107"/>
      <c r="G636" s="105"/>
    </row>
    <row r="637" spans="6:7" x14ac:dyDescent="0.3">
      <c r="F637" s="107"/>
      <c r="G637" s="105"/>
    </row>
    <row r="638" spans="6:7" x14ac:dyDescent="0.3">
      <c r="F638" s="107"/>
      <c r="G638" s="105"/>
    </row>
    <row r="639" spans="6:7" x14ac:dyDescent="0.3">
      <c r="F639" s="107"/>
      <c r="G639" s="105"/>
    </row>
    <row r="640" spans="6:7" x14ac:dyDescent="0.3">
      <c r="F640" s="107"/>
      <c r="G640" s="105"/>
    </row>
    <row r="641" spans="6:7" x14ac:dyDescent="0.3">
      <c r="F641" s="107"/>
      <c r="G641" s="105"/>
    </row>
    <row r="642" spans="6:7" x14ac:dyDescent="0.3">
      <c r="F642" s="107"/>
      <c r="G642" s="105"/>
    </row>
    <row r="643" spans="6:7" x14ac:dyDescent="0.3">
      <c r="F643" s="107"/>
      <c r="G643" s="105"/>
    </row>
    <row r="644" spans="6:7" x14ac:dyDescent="0.3">
      <c r="F644" s="107"/>
      <c r="G644" s="105"/>
    </row>
    <row r="645" spans="6:7" x14ac:dyDescent="0.3">
      <c r="F645" s="107"/>
      <c r="G645" s="105"/>
    </row>
    <row r="646" spans="6:7" x14ac:dyDescent="0.3">
      <c r="F646" s="107"/>
      <c r="G646" s="105"/>
    </row>
    <row r="647" spans="6:7" x14ac:dyDescent="0.3">
      <c r="F647" s="107"/>
      <c r="G647" s="105"/>
    </row>
    <row r="648" spans="6:7" x14ac:dyDescent="0.3">
      <c r="F648" s="107"/>
      <c r="G648" s="105"/>
    </row>
    <row r="649" spans="6:7" x14ac:dyDescent="0.3">
      <c r="F649" s="107"/>
      <c r="G649" s="105"/>
    </row>
    <row r="650" spans="6:7" x14ac:dyDescent="0.3">
      <c r="F650" s="107"/>
      <c r="G650" s="105"/>
    </row>
    <row r="651" spans="6:7" x14ac:dyDescent="0.3">
      <c r="F651" s="107"/>
      <c r="G651" s="105"/>
    </row>
    <row r="652" spans="6:7" x14ac:dyDescent="0.3">
      <c r="F652" s="107"/>
      <c r="G652" s="105"/>
    </row>
    <row r="653" spans="6:7" x14ac:dyDescent="0.3">
      <c r="F653" s="107"/>
      <c r="G653" s="105"/>
    </row>
    <row r="654" spans="6:7" x14ac:dyDescent="0.3">
      <c r="F654" s="107"/>
      <c r="G654" s="105"/>
    </row>
    <row r="655" spans="6:7" x14ac:dyDescent="0.3">
      <c r="F655" s="107"/>
      <c r="G655" s="105"/>
    </row>
    <row r="656" spans="6:7" x14ac:dyDescent="0.3">
      <c r="F656" s="107"/>
      <c r="G656" s="105"/>
    </row>
    <row r="657" spans="6:7" x14ac:dyDescent="0.3">
      <c r="F657" s="107"/>
      <c r="G657" s="105"/>
    </row>
    <row r="658" spans="6:7" x14ac:dyDescent="0.3">
      <c r="F658" s="107"/>
      <c r="G658" s="105"/>
    </row>
    <row r="659" spans="6:7" x14ac:dyDescent="0.3">
      <c r="F659" s="107"/>
      <c r="G659" s="105"/>
    </row>
    <row r="660" spans="6:7" x14ac:dyDescent="0.3">
      <c r="F660" s="107"/>
      <c r="G660" s="105"/>
    </row>
    <row r="661" spans="6:7" x14ac:dyDescent="0.3">
      <c r="F661" s="107"/>
      <c r="G661" s="105"/>
    </row>
    <row r="662" spans="6:7" x14ac:dyDescent="0.3">
      <c r="F662" s="107"/>
      <c r="G662" s="105"/>
    </row>
    <row r="663" spans="6:7" x14ac:dyDescent="0.3">
      <c r="F663" s="107"/>
      <c r="G663" s="105"/>
    </row>
    <row r="664" spans="6:7" x14ac:dyDescent="0.3">
      <c r="F664" s="107"/>
      <c r="G664" s="105"/>
    </row>
    <row r="665" spans="6:7" x14ac:dyDescent="0.3">
      <c r="F665" s="107"/>
      <c r="G665" s="105"/>
    </row>
    <row r="666" spans="6:7" x14ac:dyDescent="0.3">
      <c r="F666" s="107"/>
      <c r="G666" s="105"/>
    </row>
    <row r="667" spans="6:7" x14ac:dyDescent="0.3">
      <c r="F667" s="107"/>
      <c r="G667" s="105"/>
    </row>
    <row r="668" spans="6:7" x14ac:dyDescent="0.3">
      <c r="F668" s="107"/>
      <c r="G668" s="105"/>
    </row>
    <row r="669" spans="6:7" x14ac:dyDescent="0.3">
      <c r="F669" s="107"/>
      <c r="G669" s="105"/>
    </row>
    <row r="670" spans="6:7" x14ac:dyDescent="0.3">
      <c r="F670" s="107"/>
      <c r="G670" s="105"/>
    </row>
    <row r="671" spans="6:7" x14ac:dyDescent="0.3">
      <c r="F671" s="107"/>
      <c r="G671" s="105"/>
    </row>
    <row r="672" spans="6:7" x14ac:dyDescent="0.3">
      <c r="F672" s="107"/>
      <c r="G672" s="105"/>
    </row>
    <row r="673" spans="6:7" x14ac:dyDescent="0.3">
      <c r="F673" s="107"/>
      <c r="G673" s="105"/>
    </row>
    <row r="674" spans="6:7" x14ac:dyDescent="0.3">
      <c r="F674" s="107"/>
      <c r="G674" s="105"/>
    </row>
    <row r="675" spans="6:7" x14ac:dyDescent="0.3">
      <c r="F675" s="107"/>
      <c r="G675" s="105"/>
    </row>
    <row r="676" spans="6:7" x14ac:dyDescent="0.3">
      <c r="F676" s="107"/>
      <c r="G676" s="105"/>
    </row>
    <row r="677" spans="6:7" x14ac:dyDescent="0.3">
      <c r="F677" s="107"/>
      <c r="G677" s="105"/>
    </row>
    <row r="678" spans="6:7" x14ac:dyDescent="0.3">
      <c r="F678" s="107"/>
      <c r="G678" s="105"/>
    </row>
    <row r="679" spans="6:7" x14ac:dyDescent="0.3">
      <c r="F679" s="107"/>
      <c r="G679" s="105"/>
    </row>
    <row r="680" spans="6:7" x14ac:dyDescent="0.3">
      <c r="F680" s="107"/>
      <c r="G680" s="105"/>
    </row>
  </sheetData>
  <phoneticPr fontId="6" type="noConversion"/>
  <conditionalFormatting sqref="A1:B1048576">
    <cfRule type="expression" dxfId="18" priority="11">
      <formula>INDIRECT(ADDRESS(ROW(),COLUMN()))=0</formula>
    </cfRule>
  </conditionalFormatting>
  <conditionalFormatting sqref="A1:B1">
    <cfRule type="expression" dxfId="17" priority="4">
      <formula>ROW()=1</formula>
    </cfRule>
  </conditionalFormatting>
  <conditionalFormatting sqref="C109:E1048576 C108:D108 A1:A1048576 C1:E107 H2:H107">
    <cfRule type="expression" dxfId="16" priority="5">
      <formula>INDEX($A:$A,ROW())=0</formula>
    </cfRule>
  </conditionalFormatting>
  <conditionalFormatting sqref="F108:I1048576 F1:I1 B1:B1048576 I2:I107 F2:G107">
    <cfRule type="expression" dxfId="15" priority="6">
      <formula>INDEX($B:$B,ROW())=0</formula>
    </cfRule>
  </conditionalFormatting>
  <conditionalFormatting sqref="E108">
    <cfRule type="expression" dxfId="14" priority="1">
      <formula>INDEX($B:$B,ROW())=0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B4D6CB3A-688C-454A-8F59-FC6E7D04914B}">
            <xm:f>COUNTIF(Spots!$A:$A,INDIRECT(ADDRESS(ROW(),COLUMN())))=0</xm:f>
            <x14:dxf>
              <font>
                <color rgb="FF9C0000"/>
              </font>
              <fill>
                <patternFill patternType="solid">
                  <fgColor auto="1"/>
                  <bgColor rgb="FFFFC7CE"/>
                </patternFill>
              </fill>
            </x14:dxf>
          </x14:cfRule>
          <xm:sqref>A1:B1048576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49" yWindow="255" count="2">
        <x14:dataValidation type="list" allowBlank="1" showInputMessage="1" showErrorMessage="1" errorTitle="Spot Name NOT found" error="Please ddd this spot name to the list" prompt="Enter starting spot" xr:uid="{B0B0DE77-B859-4C06-A72A-30A1ED398E1A}">
          <x14:formula1>
            <xm:f>Spots!$A:$A</xm:f>
          </x14:formula1>
          <xm:sqref>A1:A1048576</xm:sqref>
        </x14:dataValidation>
        <x14:dataValidation type="list" allowBlank="1" showInputMessage="1" showErrorMessage="1" errorTitle="Spot Name NOT found" error="Please ddd this spot name to the list" prompt="Enter ending spot" xr:uid="{02C85DDE-4EA7-41B6-9042-F06C821A107D}">
          <x14:formula1>
            <xm:f>Spots!$A:$A</xm:f>
          </x14:formula1>
          <xm:sqref>B1:B1048576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V441"/>
  <sheetViews>
    <sheetView zoomScale="94" zoomScaleNormal="94" workbookViewId="0">
      <selection activeCell="D17" sqref="D17"/>
    </sheetView>
  </sheetViews>
  <sheetFormatPr defaultRowHeight="14.4" x14ac:dyDescent="0.3"/>
  <cols>
    <col min="1" max="1" width="13.109375" style="30" customWidth="1"/>
    <col min="2" max="2" width="9.109375" style="30"/>
    <col min="3" max="3" width="19.33203125" style="30" customWidth="1"/>
    <col min="4" max="4" width="12.5546875" style="3" customWidth="1"/>
    <col min="5" max="5" width="19.33203125" style="12" customWidth="1"/>
    <col min="6" max="6" width="11" style="12" customWidth="1"/>
    <col min="7" max="7" width="8.88671875" style="12" customWidth="1"/>
    <col min="8" max="14" width="8.88671875" style="3"/>
    <col min="15" max="15" width="8.88671875" style="12"/>
    <col min="16" max="16" width="8.88671875" style="3"/>
    <col min="17" max="17" width="11.77734375" style="3" customWidth="1"/>
    <col min="18" max="18" width="8.88671875" style="3"/>
    <col min="19" max="19" width="13.88671875" style="3" customWidth="1"/>
    <col min="20" max="25" width="8.88671875" style="3"/>
    <col min="26" max="26" width="8.88671875" style="124"/>
    <col min="27" max="29" width="8.88671875" style="125"/>
    <col min="30" max="16384" width="8.88671875" style="3"/>
  </cols>
  <sheetData>
    <row r="1" spans="1:29" x14ac:dyDescent="0.3">
      <c r="A1" s="122" t="s">
        <v>73</v>
      </c>
      <c r="B1" s="122" t="s">
        <v>74</v>
      </c>
      <c r="C1" s="122" t="s">
        <v>91</v>
      </c>
      <c r="E1" s="16"/>
      <c r="F1" s="16"/>
      <c r="G1" s="123"/>
      <c r="Z1" s="124" t="str" cm="1">
        <f t="array" ref="Z1">INDEX(Map!$B$2:$V$22,-Paths!AA1+11,Paths!AB1+11)</f>
        <v>Blank_1</v>
      </c>
      <c r="AA1" s="125">
        <f t="shared" ref="AA1:AA64" si="0">QUOTIENT(ROW(AB1)-1,21)-10</f>
        <v>-10</v>
      </c>
      <c r="AB1" s="125">
        <f t="shared" ref="AB1:AB64" si="1">MOD(ROW(AB1)-1,21)-10</f>
        <v>-10</v>
      </c>
      <c r="AC1" s="51" t="str">
        <f>AB1&amp;", "&amp;AA1</f>
        <v>-10, -10</v>
      </c>
    </row>
    <row r="2" spans="1:29" ht="14.4" customHeight="1" x14ac:dyDescent="0.3">
      <c r="A2" s="20" cm="1">
        <f t="array" ref="A2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2" s="20" cm="1">
        <f t="array" ref="B2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2" s="18" t="str" cm="1">
        <f t="array" ref="C2">IF(MOD(ROW(),3)=2,      INDEX(Maze!A:A,QUOTIENT(ROW()+1,3) + 1),
IF(MOD(ROW(),3)=0,         INDEX(Maze!B:B,QUOTIENT(ROW()+1,3) + 1),       0))</f>
        <v>Intro</v>
      </c>
      <c r="E2" s="17"/>
      <c r="F2" s="17"/>
      <c r="G2" s="17"/>
      <c r="Z2" s="124" cm="1">
        <f t="array" ref="Z2">INDEX(Map!$B$2:$V$22,-Paths!AA2+11,Paths!AB2+11)</f>
        <v>0</v>
      </c>
      <c r="AA2" s="125">
        <f t="shared" si="0"/>
        <v>-10</v>
      </c>
      <c r="AB2" s="125">
        <f t="shared" si="1"/>
        <v>-9</v>
      </c>
      <c r="AC2" s="51" t="str">
        <f t="shared" ref="AC2:AC65" si="2">AB2&amp;", "&amp;AA2</f>
        <v>-9, -10</v>
      </c>
    </row>
    <row r="3" spans="1:29" x14ac:dyDescent="0.3">
      <c r="A3" s="20" cm="1">
        <f t="array" ref="A3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</v>
      </c>
      <c r="B3" s="20" cm="1">
        <f t="array" ref="B3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3" s="20" t="str" cm="1">
        <f t="array" ref="C3">IF(MOD(ROW(),3)=2,      INDEX(Maze!A:A,QUOTIENT(ROW()+1,3) + 1),
IF(MOD(ROW(),3)=0,         INDEX(Maze!B:B,QUOTIENT(ROW()+1,3) + 1),       0))</f>
        <v>Features</v>
      </c>
      <c r="E3" s="17"/>
      <c r="F3" s="17"/>
      <c r="G3" s="17"/>
      <c r="Z3" s="124" cm="1">
        <f t="array" ref="Z3">INDEX(Map!$B$2:$V$22,-Paths!AA3+11,Paths!AB3+11)</f>
        <v>0</v>
      </c>
      <c r="AA3" s="125">
        <f t="shared" si="0"/>
        <v>-10</v>
      </c>
      <c r="AB3" s="125">
        <f t="shared" si="1"/>
        <v>-8</v>
      </c>
      <c r="AC3" s="51" t="str">
        <f t="shared" si="2"/>
        <v>-8, -10</v>
      </c>
    </row>
    <row r="4" spans="1:29" x14ac:dyDescent="0.3">
      <c r="A4" s="31"/>
      <c r="B4" s="32"/>
      <c r="C4" s="31"/>
      <c r="E4" s="17"/>
      <c r="F4" s="17"/>
      <c r="G4" s="17"/>
      <c r="Z4" s="124" cm="1">
        <f t="array" ref="Z4">INDEX(Map!$B$2:$V$22,-Paths!AA4+11,Paths!AB4+11)</f>
        <v>0</v>
      </c>
      <c r="AA4" s="125">
        <f t="shared" si="0"/>
        <v>-10</v>
      </c>
      <c r="AB4" s="125">
        <f t="shared" si="1"/>
        <v>-7</v>
      </c>
      <c r="AC4" s="51" t="str">
        <f t="shared" si="2"/>
        <v>-7, -10</v>
      </c>
    </row>
    <row r="5" spans="1:29" x14ac:dyDescent="0.3">
      <c r="A5" s="20" cm="1">
        <f t="array" ref="A5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</v>
      </c>
      <c r="B5" s="20" cm="1">
        <f t="array" ref="B5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5" s="18" t="str" cm="1">
        <f t="array" ref="C5">IF(MOD(ROW(),3)=2,      INDEX(Maze!A:A,QUOTIENT(ROW()+1,3) + 1),
IF(MOD(ROW(),3)=0,         INDEX(Maze!B:B,QUOTIENT(ROW()+1,3) + 1),       0))</f>
        <v>Features</v>
      </c>
      <c r="E5" s="17"/>
      <c r="F5" s="17"/>
      <c r="G5" s="17"/>
      <c r="Z5" s="124" cm="1">
        <f t="array" ref="Z5">INDEX(Map!$B$2:$V$22,-Paths!AA5+11,Paths!AB5+11)</f>
        <v>0</v>
      </c>
      <c r="AA5" s="125">
        <f t="shared" si="0"/>
        <v>-10</v>
      </c>
      <c r="AB5" s="125">
        <f t="shared" si="1"/>
        <v>-6</v>
      </c>
      <c r="AC5" s="51" t="str">
        <f t="shared" si="2"/>
        <v>-6, -10</v>
      </c>
    </row>
    <row r="6" spans="1:29" x14ac:dyDescent="0.3">
      <c r="A6" s="20" cm="1">
        <f t="array" ref="A6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2</v>
      </c>
      <c r="B6" s="20" cm="1">
        <f t="array" ref="B6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6" s="20" t="str" cm="1">
        <f t="array" ref="C6">IF(MOD(ROW(),3)=2,      INDEX(Maze!A:A,QUOTIENT(ROW()+1,3) + 1),
IF(MOD(ROW(),3)=0,         INDEX(Maze!B:B,QUOTIENT(ROW()+1,3) + 1),       0))</f>
        <v>Applications</v>
      </c>
      <c r="Z6" s="124" cm="1">
        <f t="array" ref="Z6">INDEX(Map!$B$2:$V$22,-Paths!AA6+11,Paths!AB6+11)</f>
        <v>0</v>
      </c>
      <c r="AA6" s="125">
        <f t="shared" si="0"/>
        <v>-10</v>
      </c>
      <c r="AB6" s="125">
        <f t="shared" si="1"/>
        <v>-5</v>
      </c>
      <c r="AC6" s="51" t="str">
        <f t="shared" si="2"/>
        <v>-5, -10</v>
      </c>
    </row>
    <row r="7" spans="1:29" x14ac:dyDescent="0.3">
      <c r="A7" s="31"/>
      <c r="B7" s="32"/>
      <c r="C7" s="31"/>
      <c r="Z7" s="124" cm="1">
        <f t="array" ref="Z7">INDEX(Map!$B$2:$V$22,-Paths!AA7+11,Paths!AB7+11)</f>
        <v>0</v>
      </c>
      <c r="AA7" s="125">
        <f t="shared" si="0"/>
        <v>-10</v>
      </c>
      <c r="AB7" s="125">
        <f t="shared" si="1"/>
        <v>-4</v>
      </c>
      <c r="AC7" s="51" t="str">
        <f t="shared" si="2"/>
        <v>-4, -10</v>
      </c>
    </row>
    <row r="8" spans="1:29" x14ac:dyDescent="0.3">
      <c r="A8" s="20" cm="1">
        <f t="array" ref="A8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2</v>
      </c>
      <c r="B8" s="20" cm="1">
        <f t="array" ref="B8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8" s="18" t="str" cm="1">
        <f t="array" ref="C8">IF(MOD(ROW(),3)=2,      INDEX(Maze!A:A,QUOTIENT(ROW()+1,3) + 1),
IF(MOD(ROW(),3)=0,         INDEX(Maze!B:B,QUOTIENT(ROW()+1,3) + 1),       0))</f>
        <v>Applications</v>
      </c>
      <c r="Z8" s="124" cm="1">
        <f t="array" ref="Z8">INDEX(Map!$B$2:$V$22,-Paths!AA8+11,Paths!AB8+11)</f>
        <v>0</v>
      </c>
      <c r="AA8" s="125">
        <f t="shared" si="0"/>
        <v>-10</v>
      </c>
      <c r="AB8" s="125">
        <f t="shared" si="1"/>
        <v>-3</v>
      </c>
      <c r="AC8" s="51" t="str">
        <f t="shared" si="2"/>
        <v>-3, -10</v>
      </c>
    </row>
    <row r="9" spans="1:29" x14ac:dyDescent="0.3">
      <c r="A9" s="20" cm="1">
        <f t="array" ref="A9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3</v>
      </c>
      <c r="B9" s="20" cm="1">
        <f t="array" ref="B9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9" s="20" t="str" cm="1">
        <f t="array" ref="C9">IF(MOD(ROW(),3)=2,      INDEX(Maze!A:A,QUOTIENT(ROW()+1,3) + 1),
IF(MOD(ROW(),3)=0,         INDEX(Maze!B:B,QUOTIENT(ROW()+1,3) + 1),       0))</f>
        <v>Benefits</v>
      </c>
      <c r="Z9" s="124" cm="1">
        <f t="array" ref="Z9">INDEX(Map!$B$2:$V$22,-Paths!AA9+11,Paths!AB9+11)</f>
        <v>0</v>
      </c>
      <c r="AA9" s="125">
        <f t="shared" si="0"/>
        <v>-10</v>
      </c>
      <c r="AB9" s="125">
        <f t="shared" si="1"/>
        <v>-2</v>
      </c>
      <c r="AC9" s="51" t="str">
        <f t="shared" si="2"/>
        <v>-2, -10</v>
      </c>
    </row>
    <row r="10" spans="1:29" x14ac:dyDescent="0.3">
      <c r="A10" s="31"/>
      <c r="B10" s="32"/>
      <c r="C10" s="31"/>
      <c r="Z10" s="124" cm="1">
        <f t="array" ref="Z10">INDEX(Map!$B$2:$V$22,-Paths!AA10+11,Paths!AB10+11)</f>
        <v>0</v>
      </c>
      <c r="AA10" s="125">
        <f t="shared" si="0"/>
        <v>-10</v>
      </c>
      <c r="AB10" s="125">
        <f t="shared" si="1"/>
        <v>-1</v>
      </c>
      <c r="AC10" s="51" t="str">
        <f t="shared" si="2"/>
        <v>-1, -10</v>
      </c>
    </row>
    <row r="11" spans="1:29" x14ac:dyDescent="0.3">
      <c r="A11" s="20" cm="1">
        <f t="array" ref="A11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11" s="20" cm="1">
        <f t="array" ref="B11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11" s="18" cm="1">
        <f t="array" ref="C11">IF(MOD(ROW(),3)=2,      INDEX(Maze!A:A,QUOTIENT(ROW()+1,3) + 1),
IF(MOD(ROW(),3)=0,         INDEX(Maze!B:B,QUOTIENT(ROW()+1,3) + 1),       0))</f>
        <v>0</v>
      </c>
      <c r="Z11" s="124" cm="1">
        <f t="array" ref="Z11">INDEX(Map!$B$2:$V$22,-Paths!AA11+11,Paths!AB11+11)</f>
        <v>0</v>
      </c>
      <c r="AA11" s="125">
        <f t="shared" si="0"/>
        <v>-10</v>
      </c>
      <c r="AB11" s="125">
        <f t="shared" si="1"/>
        <v>0</v>
      </c>
      <c r="AC11" s="51" t="str">
        <f t="shared" si="2"/>
        <v>0, -10</v>
      </c>
    </row>
    <row r="12" spans="1:29" x14ac:dyDescent="0.3">
      <c r="A12" s="20" cm="1">
        <f t="array" ref="A12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12" s="20" cm="1">
        <f t="array" ref="B12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12" s="20" cm="1">
        <f t="array" ref="C12">IF(MOD(ROW(),3)=2,      INDEX(Maze!A:A,QUOTIENT(ROW()+1,3) + 1),
IF(MOD(ROW(),3)=0,         INDEX(Maze!B:B,QUOTIENT(ROW()+1,3) + 1),       0))</f>
        <v>0</v>
      </c>
      <c r="Z12" s="124" cm="1">
        <f t="array" ref="Z12">INDEX(Map!$B$2:$V$22,-Paths!AA12+11,Paths!AB12+11)</f>
        <v>0</v>
      </c>
      <c r="AA12" s="125">
        <f t="shared" si="0"/>
        <v>-10</v>
      </c>
      <c r="AB12" s="125">
        <f t="shared" si="1"/>
        <v>1</v>
      </c>
      <c r="AC12" s="51" t="str">
        <f t="shared" si="2"/>
        <v>1, -10</v>
      </c>
    </row>
    <row r="13" spans="1:29" x14ac:dyDescent="0.3">
      <c r="A13" s="31"/>
      <c r="B13" s="32"/>
      <c r="C13" s="31"/>
      <c r="Z13" s="124" cm="1">
        <f t="array" ref="Z13">INDEX(Map!$B$2:$V$22,-Paths!AA13+11,Paths!AB13+11)</f>
        <v>0</v>
      </c>
      <c r="AA13" s="125">
        <f t="shared" si="0"/>
        <v>-10</v>
      </c>
      <c r="AB13" s="125">
        <f t="shared" si="1"/>
        <v>2</v>
      </c>
      <c r="AC13" s="51" t="str">
        <f t="shared" si="2"/>
        <v>2, -10</v>
      </c>
    </row>
    <row r="14" spans="1:29" x14ac:dyDescent="0.3">
      <c r="A14" s="20" cm="1">
        <f t="array" ref="A14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</v>
      </c>
      <c r="B14" s="20" cm="1">
        <f t="array" ref="B14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14" s="18" t="str" cm="1">
        <f t="array" ref="C14">IF(MOD(ROW(),3)=2,      INDEX(Maze!A:A,QUOTIENT(ROW()+1,3) + 1),
IF(MOD(ROW(),3)=0,         INDEX(Maze!B:B,QUOTIENT(ROW()+1,3) + 1),       0))</f>
        <v>Features</v>
      </c>
      <c r="Z14" s="124" cm="1">
        <f t="array" ref="Z14">INDEX(Map!$B$2:$V$22,-Paths!AA14+11,Paths!AB14+11)</f>
        <v>0</v>
      </c>
      <c r="AA14" s="125">
        <f t="shared" si="0"/>
        <v>-10</v>
      </c>
      <c r="AB14" s="125">
        <f t="shared" si="1"/>
        <v>3</v>
      </c>
      <c r="AC14" s="51" t="str">
        <f t="shared" si="2"/>
        <v>3, -10</v>
      </c>
    </row>
    <row r="15" spans="1:29" x14ac:dyDescent="0.3">
      <c r="A15" s="20" cm="1">
        <f t="array" ref="A15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</v>
      </c>
      <c r="B15" s="20" cm="1">
        <f t="array" ref="B15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1</v>
      </c>
      <c r="C15" s="20" t="str" cm="1">
        <f t="array" ref="C15">IF(MOD(ROW(),3)=2,      INDEX(Maze!A:A,QUOTIENT(ROW()+1,3) + 1),
IF(MOD(ROW(),3)=0,         INDEX(Maze!B:B,QUOTIENT(ROW()+1,3) + 1),       0))</f>
        <v>Feature1</v>
      </c>
      <c r="Z15" s="124" cm="1">
        <f t="array" ref="Z15">INDEX(Map!$B$2:$V$22,-Paths!AA15+11,Paths!AB15+11)</f>
        <v>0</v>
      </c>
      <c r="AA15" s="125">
        <f t="shared" si="0"/>
        <v>-10</v>
      </c>
      <c r="AB15" s="125">
        <f t="shared" si="1"/>
        <v>4</v>
      </c>
      <c r="AC15" s="51" t="str">
        <f t="shared" si="2"/>
        <v>4, -10</v>
      </c>
    </row>
    <row r="16" spans="1:29" x14ac:dyDescent="0.3">
      <c r="A16" s="31"/>
      <c r="B16" s="32"/>
      <c r="C16" s="31"/>
      <c r="Z16" s="124" cm="1">
        <f t="array" ref="Z16">INDEX(Map!$B$2:$V$22,-Paths!AA16+11,Paths!AB16+11)</f>
        <v>0</v>
      </c>
      <c r="AA16" s="125">
        <f t="shared" si="0"/>
        <v>-10</v>
      </c>
      <c r="AB16" s="125">
        <f t="shared" si="1"/>
        <v>5</v>
      </c>
      <c r="AC16" s="51" t="str">
        <f t="shared" si="2"/>
        <v>5, -10</v>
      </c>
    </row>
    <row r="17" spans="1:29" x14ac:dyDescent="0.3">
      <c r="A17" s="20" cm="1">
        <f t="array" ref="A17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</v>
      </c>
      <c r="B17" s="20" cm="1">
        <f t="array" ref="B17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1</v>
      </c>
      <c r="C17" s="18" t="str" cm="1">
        <f t="array" ref="C17">IF(MOD(ROW(),3)=2,      INDEX(Maze!A:A,QUOTIENT(ROW()+1,3) + 1),
IF(MOD(ROW(),3)=0,         INDEX(Maze!B:B,QUOTIENT(ROW()+1,3) + 1),       0))</f>
        <v>Feature1</v>
      </c>
      <c r="Z17" s="124" cm="1">
        <f t="array" ref="Z17">INDEX(Map!$B$2:$V$22,-Paths!AA17+11,Paths!AB17+11)</f>
        <v>0</v>
      </c>
      <c r="AA17" s="125">
        <f t="shared" si="0"/>
        <v>-10</v>
      </c>
      <c r="AB17" s="125">
        <f t="shared" si="1"/>
        <v>6</v>
      </c>
      <c r="AC17" s="51" t="str">
        <f t="shared" si="2"/>
        <v>6, -10</v>
      </c>
    </row>
    <row r="18" spans="1:29" x14ac:dyDescent="0.3">
      <c r="A18" s="20" cm="1">
        <f t="array" ref="A18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</v>
      </c>
      <c r="B18" s="20" cm="1">
        <f t="array" ref="B18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2</v>
      </c>
      <c r="C18" s="20" t="str" cm="1">
        <f t="array" ref="C18">IF(MOD(ROW(),3)=2,      INDEX(Maze!A:A,QUOTIENT(ROW()+1,3) + 1),
IF(MOD(ROW(),3)=0,         INDEX(Maze!B:B,QUOTIENT(ROW()+1,3) + 1),       0))</f>
        <v>Feature2</v>
      </c>
      <c r="Z18" s="124" cm="1">
        <f t="array" ref="Z18">INDEX(Map!$B$2:$V$22,-Paths!AA18+11,Paths!AB18+11)</f>
        <v>0</v>
      </c>
      <c r="AA18" s="125">
        <f t="shared" si="0"/>
        <v>-10</v>
      </c>
      <c r="AB18" s="125">
        <f t="shared" si="1"/>
        <v>7</v>
      </c>
      <c r="AC18" s="51" t="str">
        <f t="shared" si="2"/>
        <v>7, -10</v>
      </c>
    </row>
    <row r="19" spans="1:29" x14ac:dyDescent="0.3">
      <c r="A19" s="31"/>
      <c r="B19" s="32"/>
      <c r="C19" s="31"/>
      <c r="Z19" s="124" cm="1">
        <f t="array" ref="Z19">INDEX(Map!$B$2:$V$22,-Paths!AA19+11,Paths!AB19+11)</f>
        <v>0</v>
      </c>
      <c r="AA19" s="125">
        <f t="shared" si="0"/>
        <v>-10</v>
      </c>
      <c r="AB19" s="125">
        <f t="shared" si="1"/>
        <v>8</v>
      </c>
      <c r="AC19" s="51" t="str">
        <f t="shared" si="2"/>
        <v>8, -10</v>
      </c>
    </row>
    <row r="20" spans="1:29" x14ac:dyDescent="0.3">
      <c r="A20" s="20" cm="1">
        <f t="array" ref="A20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</v>
      </c>
      <c r="B20" s="20" cm="1">
        <f t="array" ref="B20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2</v>
      </c>
      <c r="C20" s="18" t="str" cm="1">
        <f t="array" ref="C20">IF(MOD(ROW(),3)=2,      INDEX(Maze!A:A,QUOTIENT(ROW()+1,3) + 1),
IF(MOD(ROW(),3)=0,         INDEX(Maze!B:B,QUOTIENT(ROW()+1,3) + 1),       0))</f>
        <v>Feature2</v>
      </c>
      <c r="Z20" s="124" cm="1">
        <f t="array" ref="Z20">INDEX(Map!$B$2:$V$22,-Paths!AA20+11,Paths!AB20+11)</f>
        <v>0</v>
      </c>
      <c r="AA20" s="125">
        <f t="shared" si="0"/>
        <v>-10</v>
      </c>
      <c r="AB20" s="125">
        <f t="shared" si="1"/>
        <v>9</v>
      </c>
      <c r="AC20" s="51" t="str">
        <f t="shared" si="2"/>
        <v>9, -10</v>
      </c>
    </row>
    <row r="21" spans="1:29" x14ac:dyDescent="0.3">
      <c r="A21" s="20" cm="1">
        <f t="array" ref="A21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</v>
      </c>
      <c r="B21" s="20" cm="1">
        <f t="array" ref="B21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3</v>
      </c>
      <c r="C21" s="20" t="str" cm="1">
        <f t="array" ref="C21">IF(MOD(ROW(),3)=2,      INDEX(Maze!A:A,QUOTIENT(ROW()+1,3) + 1),
IF(MOD(ROW(),3)=0,         INDEX(Maze!B:B,QUOTIENT(ROW()+1,3) + 1),       0))</f>
        <v>Feature3</v>
      </c>
      <c r="Z21" s="124" t="str" cm="1">
        <f t="array" ref="Z21">INDEX(Map!$B$2:$V$22,-Paths!AA21+11,Paths!AB21+11)</f>
        <v>Blank_2</v>
      </c>
      <c r="AA21" s="125">
        <f t="shared" si="0"/>
        <v>-10</v>
      </c>
      <c r="AB21" s="125">
        <f t="shared" si="1"/>
        <v>10</v>
      </c>
      <c r="AC21" s="51" t="str">
        <f t="shared" si="2"/>
        <v>10, -10</v>
      </c>
    </row>
    <row r="22" spans="1:29" x14ac:dyDescent="0.3">
      <c r="A22" s="31"/>
      <c r="B22" s="32"/>
      <c r="C22" s="31"/>
      <c r="Z22" s="124" cm="1">
        <f t="array" ref="Z22">INDEX(Map!$B$2:$V$22,-Paths!AA22+11,Paths!AB22+11)</f>
        <v>0</v>
      </c>
      <c r="AA22" s="125">
        <f t="shared" si="0"/>
        <v>-9</v>
      </c>
      <c r="AB22" s="125">
        <f t="shared" si="1"/>
        <v>-10</v>
      </c>
      <c r="AC22" s="51" t="str">
        <f t="shared" si="2"/>
        <v>-10, -9</v>
      </c>
    </row>
    <row r="23" spans="1:29" x14ac:dyDescent="0.3">
      <c r="A23" s="20" cm="1">
        <f t="array" ref="A23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</v>
      </c>
      <c r="B23" s="20" cm="1">
        <f t="array" ref="B23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3</v>
      </c>
      <c r="C23" s="18" t="str" cm="1">
        <f t="array" ref="C23">IF(MOD(ROW(),3)=2,      INDEX(Maze!A:A,QUOTIENT(ROW()+1,3) + 1),
IF(MOD(ROW(),3)=0,         INDEX(Maze!B:B,QUOTIENT(ROW()+1,3) + 1),       0))</f>
        <v>Feature3</v>
      </c>
      <c r="Z23" s="124" cm="1">
        <f t="array" ref="Z23">INDEX(Map!$B$2:$V$22,-Paths!AA23+11,Paths!AB23+11)</f>
        <v>0</v>
      </c>
      <c r="AA23" s="125">
        <f t="shared" si="0"/>
        <v>-9</v>
      </c>
      <c r="AB23" s="125">
        <f t="shared" si="1"/>
        <v>-9</v>
      </c>
      <c r="AC23" s="51" t="str">
        <f t="shared" si="2"/>
        <v>-9, -9</v>
      </c>
    </row>
    <row r="24" spans="1:29" x14ac:dyDescent="0.3">
      <c r="A24" s="20" cm="1">
        <f t="array" ref="A24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</v>
      </c>
      <c r="B24" s="20" cm="1">
        <f t="array" ref="B24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4</v>
      </c>
      <c r="C24" s="20" t="str" cm="1">
        <f t="array" ref="C24">IF(MOD(ROW(),3)=2,      INDEX(Maze!A:A,QUOTIENT(ROW()+1,3) + 1),
IF(MOD(ROW(),3)=0,         INDEX(Maze!B:B,QUOTIENT(ROW()+1,3) + 1),       0))</f>
        <v>Feature4</v>
      </c>
      <c r="Z24" s="124" cm="1">
        <f t="array" ref="Z24">INDEX(Map!$B$2:$V$22,-Paths!AA24+11,Paths!AB24+11)</f>
        <v>0</v>
      </c>
      <c r="AA24" s="125">
        <f t="shared" si="0"/>
        <v>-9</v>
      </c>
      <c r="AB24" s="125">
        <f t="shared" si="1"/>
        <v>-8</v>
      </c>
      <c r="AC24" s="51" t="str">
        <f t="shared" si="2"/>
        <v>-8, -9</v>
      </c>
    </row>
    <row r="25" spans="1:29" x14ac:dyDescent="0.3">
      <c r="A25" s="31"/>
      <c r="B25" s="32"/>
      <c r="C25" s="31"/>
      <c r="Z25" s="124" cm="1">
        <f t="array" ref="Z25">INDEX(Map!$B$2:$V$22,-Paths!AA25+11,Paths!AB25+11)</f>
        <v>0</v>
      </c>
      <c r="AA25" s="125">
        <f t="shared" si="0"/>
        <v>-9</v>
      </c>
      <c r="AB25" s="125">
        <f t="shared" si="1"/>
        <v>-7</v>
      </c>
      <c r="AC25" s="51" t="str">
        <f t="shared" si="2"/>
        <v>-7, -9</v>
      </c>
    </row>
    <row r="26" spans="1:29" x14ac:dyDescent="0.3">
      <c r="A26" s="20" cm="1">
        <f t="array" ref="A26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</v>
      </c>
      <c r="B26" s="20" cm="1">
        <f t="array" ref="B26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4</v>
      </c>
      <c r="C26" s="18" t="str" cm="1">
        <f t="array" ref="C26">IF(MOD(ROW(),3)=2,      INDEX(Maze!A:A,QUOTIENT(ROW()+1,3) + 1),
IF(MOD(ROW(),3)=0,         INDEX(Maze!B:B,QUOTIENT(ROW()+1,3) + 1),       0))</f>
        <v>Feature4</v>
      </c>
      <c r="Z26" s="124" cm="1">
        <f t="array" ref="Z26">INDEX(Map!$B$2:$V$22,-Paths!AA26+11,Paths!AB26+11)</f>
        <v>0</v>
      </c>
      <c r="AA26" s="125">
        <f t="shared" si="0"/>
        <v>-9</v>
      </c>
      <c r="AB26" s="125">
        <f t="shared" si="1"/>
        <v>-6</v>
      </c>
      <c r="AC26" s="51" t="str">
        <f t="shared" si="2"/>
        <v>-6, -9</v>
      </c>
    </row>
    <row r="27" spans="1:29" x14ac:dyDescent="0.3">
      <c r="A27" s="20" cm="1">
        <f t="array" ref="A27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</v>
      </c>
      <c r="B27" s="20" cm="1">
        <f t="array" ref="B27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5</v>
      </c>
      <c r="C27" s="20" t="str" cm="1">
        <f t="array" ref="C27">IF(MOD(ROW(),3)=2,      INDEX(Maze!A:A,QUOTIENT(ROW()+1,3) + 1),
IF(MOD(ROW(),3)=0,         INDEX(Maze!B:B,QUOTIENT(ROW()+1,3) + 1),       0))</f>
        <v>Feature5</v>
      </c>
      <c r="Z27" s="124" cm="1">
        <f t="array" ref="Z27">INDEX(Map!$B$2:$V$22,-Paths!AA27+11,Paths!AB27+11)</f>
        <v>0</v>
      </c>
      <c r="AA27" s="125">
        <f t="shared" si="0"/>
        <v>-9</v>
      </c>
      <c r="AB27" s="125">
        <f t="shared" si="1"/>
        <v>-5</v>
      </c>
      <c r="AC27" s="51" t="str">
        <f t="shared" si="2"/>
        <v>-5, -9</v>
      </c>
    </row>
    <row r="28" spans="1:29" ht="15" thickBot="1" x14ac:dyDescent="0.35">
      <c r="A28" s="31"/>
      <c r="B28" s="32"/>
      <c r="C28" s="31"/>
      <c r="Z28" s="124" cm="1">
        <f t="array" ref="Z28">INDEX(Map!$B$2:$V$22,-Paths!AA28+11,Paths!AB28+11)</f>
        <v>0</v>
      </c>
      <c r="AA28" s="125">
        <f t="shared" si="0"/>
        <v>-9</v>
      </c>
      <c r="AB28" s="125">
        <f t="shared" si="1"/>
        <v>-4</v>
      </c>
      <c r="AC28" s="51" t="str">
        <f t="shared" si="2"/>
        <v>-4, -9</v>
      </c>
    </row>
    <row r="29" spans="1:29" x14ac:dyDescent="0.3">
      <c r="A29" s="20" cm="1">
        <f t="array" ref="A29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</v>
      </c>
      <c r="B29" s="20" cm="1">
        <f t="array" ref="B29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5</v>
      </c>
      <c r="C29" s="18" t="str" cm="1">
        <f t="array" ref="C29">IF(MOD(ROW(),3)=2,      INDEX(Maze!A:A,QUOTIENT(ROW()+1,3) + 1),
IF(MOD(ROW(),3)=0,         INDEX(Maze!B:B,QUOTIENT(ROW()+1,3) + 1),       0))</f>
        <v>Feature5</v>
      </c>
      <c r="D29" s="185" t="s">
        <v>109</v>
      </c>
      <c r="Z29" s="124" cm="1">
        <f t="array" ref="Z29">INDEX(Map!$B$2:$V$22,-Paths!AA29+11,Paths!AB29+11)</f>
        <v>0</v>
      </c>
      <c r="AA29" s="125">
        <f t="shared" si="0"/>
        <v>-9</v>
      </c>
      <c r="AB29" s="125">
        <f t="shared" si="1"/>
        <v>-3</v>
      </c>
      <c r="AC29" s="51" t="str">
        <f t="shared" si="2"/>
        <v>-3, -9</v>
      </c>
    </row>
    <row r="30" spans="1:29" x14ac:dyDescent="0.3">
      <c r="A30" s="20" cm="1">
        <f t="array" ref="A30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</v>
      </c>
      <c r="B30" s="20" cm="1">
        <f t="array" ref="B30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6</v>
      </c>
      <c r="C30" s="20" t="str" cm="1">
        <f t="array" ref="C30">IF(MOD(ROW(),3)=2,      INDEX(Maze!A:A,QUOTIENT(ROW()+1,3) + 1),
IF(MOD(ROW(),3)=0,         INDEX(Maze!B:B,QUOTIENT(ROW()+1,3) + 1),       0))</f>
        <v>Feature6</v>
      </c>
      <c r="D30" s="186"/>
      <c r="Z30" s="124" cm="1">
        <f t="array" ref="Z30">INDEX(Map!$B$2:$V$22,-Paths!AA30+11,Paths!AB30+11)</f>
        <v>0</v>
      </c>
      <c r="AA30" s="125">
        <f t="shared" si="0"/>
        <v>-9</v>
      </c>
      <c r="AB30" s="125">
        <f t="shared" si="1"/>
        <v>-2</v>
      </c>
      <c r="AC30" s="51" t="str">
        <f t="shared" si="2"/>
        <v>-2, -9</v>
      </c>
    </row>
    <row r="31" spans="1:29" ht="15" thickBot="1" x14ac:dyDescent="0.35">
      <c r="A31" s="31"/>
      <c r="B31" s="32"/>
      <c r="C31" s="31"/>
      <c r="D31" s="187"/>
      <c r="Z31" s="124" cm="1">
        <f t="array" ref="Z31">INDEX(Map!$B$2:$V$22,-Paths!AA31+11,Paths!AB31+11)</f>
        <v>0</v>
      </c>
      <c r="AA31" s="125">
        <f t="shared" si="0"/>
        <v>-9</v>
      </c>
      <c r="AB31" s="125">
        <f t="shared" si="1"/>
        <v>-1</v>
      </c>
      <c r="AC31" s="51" t="str">
        <f t="shared" si="2"/>
        <v>-1, -9</v>
      </c>
    </row>
    <row r="32" spans="1:29" x14ac:dyDescent="0.3">
      <c r="A32" s="20" cm="1">
        <f t="array" ref="A32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32" s="20" cm="1">
        <f t="array" ref="B32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32" s="18" cm="1">
        <f t="array" ref="C32">IF(MOD(ROW(),3)=2,      INDEX(Maze!A:A,QUOTIENT(ROW()+1,3) + 1),
IF(MOD(ROW(),3)=0,         INDEX(Maze!B:B,QUOTIENT(ROW()+1,3) + 1),       0))</f>
        <v>0</v>
      </c>
      <c r="Z32" s="124" cm="1">
        <f t="array" ref="Z32">INDEX(Map!$B$2:$V$22,-Paths!AA32+11,Paths!AB32+11)</f>
        <v>0</v>
      </c>
      <c r="AA32" s="125">
        <f t="shared" si="0"/>
        <v>-9</v>
      </c>
      <c r="AB32" s="125">
        <f t="shared" si="1"/>
        <v>0</v>
      </c>
      <c r="AC32" s="51" t="str">
        <f t="shared" si="2"/>
        <v>0, -9</v>
      </c>
    </row>
    <row r="33" spans="1:48" x14ac:dyDescent="0.3">
      <c r="A33" s="20" cm="1">
        <f t="array" ref="A33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33" s="20" cm="1">
        <f t="array" ref="B33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33" s="20" cm="1">
        <f t="array" ref="C33">IF(MOD(ROW(),3)=2,      INDEX(Maze!A:A,QUOTIENT(ROW()+1,3) + 1),
IF(MOD(ROW(),3)=0,         INDEX(Maze!B:B,QUOTIENT(ROW()+1,3) + 1),       0))</f>
        <v>0</v>
      </c>
      <c r="Z33" s="124" cm="1">
        <f t="array" ref="Z33">INDEX(Map!$B$2:$V$22,-Paths!AA33+11,Paths!AB33+11)</f>
        <v>0</v>
      </c>
      <c r="AA33" s="125">
        <f t="shared" si="0"/>
        <v>-9</v>
      </c>
      <c r="AB33" s="125">
        <f t="shared" si="1"/>
        <v>1</v>
      </c>
      <c r="AC33" s="51" t="str">
        <f t="shared" si="2"/>
        <v>1, -9</v>
      </c>
    </row>
    <row r="34" spans="1:48" x14ac:dyDescent="0.3">
      <c r="A34" s="31"/>
      <c r="B34" s="32"/>
      <c r="C34" s="31"/>
      <c r="Z34" s="124" cm="1">
        <f t="array" ref="Z34">INDEX(Map!$B$2:$V$22,-Paths!AA34+11,Paths!AB34+11)</f>
        <v>0</v>
      </c>
      <c r="AA34" s="125">
        <f t="shared" si="0"/>
        <v>-9</v>
      </c>
      <c r="AB34" s="125">
        <f t="shared" si="1"/>
        <v>2</v>
      </c>
      <c r="AC34" s="51" t="str">
        <f t="shared" si="2"/>
        <v>2, -9</v>
      </c>
    </row>
    <row r="35" spans="1:48" x14ac:dyDescent="0.3">
      <c r="A35" s="20" cm="1">
        <f t="array" ref="A35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2</v>
      </c>
      <c r="B35" s="20" cm="1">
        <f t="array" ref="B35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35" s="18" t="str" cm="1">
        <f t="array" ref="C35">IF(MOD(ROW(),3)=2,      INDEX(Maze!A:A,QUOTIENT(ROW()+1,3) + 1),
IF(MOD(ROW(),3)=0,         INDEX(Maze!B:B,QUOTIENT(ROW()+1,3) + 1),       0))</f>
        <v>Applications</v>
      </c>
      <c r="Z35" s="124" cm="1">
        <f t="array" ref="Z35">INDEX(Map!$B$2:$V$22,-Paths!AA35+11,Paths!AB35+11)</f>
        <v>0</v>
      </c>
      <c r="AA35" s="125">
        <f t="shared" si="0"/>
        <v>-9</v>
      </c>
      <c r="AB35" s="125">
        <f t="shared" si="1"/>
        <v>3</v>
      </c>
      <c r="AC35" s="51" t="str">
        <f t="shared" si="2"/>
        <v>3, -9</v>
      </c>
    </row>
    <row r="36" spans="1:48" x14ac:dyDescent="0.3">
      <c r="A36" s="20" cm="1">
        <f t="array" ref="A36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2</v>
      </c>
      <c r="B36" s="20" cm="1">
        <f t="array" ref="B36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-1</v>
      </c>
      <c r="C36" s="20" t="str" cm="1">
        <f t="array" ref="C36">IF(MOD(ROW(),3)=2,      INDEX(Maze!A:A,QUOTIENT(ROW()+1,3) + 1),
IF(MOD(ROW(),3)=0,         INDEX(Maze!B:B,QUOTIENT(ROW()+1,3) + 1),       0))</f>
        <v>Application1</v>
      </c>
      <c r="Z36" s="124" cm="1">
        <f t="array" ref="Z36">INDEX(Map!$B$2:$V$22,-Paths!AA36+11,Paths!AB36+11)</f>
        <v>0</v>
      </c>
      <c r="AA36" s="125">
        <f t="shared" si="0"/>
        <v>-9</v>
      </c>
      <c r="AB36" s="125">
        <f t="shared" si="1"/>
        <v>4</v>
      </c>
      <c r="AC36" s="51" t="str">
        <f t="shared" si="2"/>
        <v>4, -9</v>
      </c>
    </row>
    <row r="37" spans="1:48" x14ac:dyDescent="0.3">
      <c r="A37" s="31"/>
      <c r="B37" s="32"/>
      <c r="C37" s="31"/>
      <c r="Z37" s="124" cm="1">
        <f t="array" ref="Z37">INDEX(Map!$B$2:$V$22,-Paths!AA37+11,Paths!AB37+11)</f>
        <v>0</v>
      </c>
      <c r="AA37" s="125">
        <f t="shared" si="0"/>
        <v>-9</v>
      </c>
      <c r="AB37" s="125">
        <f t="shared" si="1"/>
        <v>5</v>
      </c>
      <c r="AC37" s="51" t="str">
        <f t="shared" si="2"/>
        <v>5, -9</v>
      </c>
    </row>
    <row r="38" spans="1:48" x14ac:dyDescent="0.3">
      <c r="A38" s="20" cm="1">
        <f t="array" ref="A38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2</v>
      </c>
      <c r="B38" s="20" cm="1">
        <f t="array" ref="B38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-1</v>
      </c>
      <c r="C38" s="18" t="str" cm="1">
        <f t="array" ref="C38">IF(MOD(ROW(),3)=2,      INDEX(Maze!A:A,QUOTIENT(ROW()+1,3) + 1),
IF(MOD(ROW(),3)=0,         INDEX(Maze!B:B,QUOTIENT(ROW()+1,3) + 1),       0))</f>
        <v>Application1</v>
      </c>
      <c r="Z38" s="124" cm="1">
        <f t="array" ref="Z38">INDEX(Map!$B$2:$V$22,-Paths!AA38+11,Paths!AB38+11)</f>
        <v>0</v>
      </c>
      <c r="AA38" s="125">
        <f t="shared" si="0"/>
        <v>-9</v>
      </c>
      <c r="AB38" s="125">
        <f t="shared" si="1"/>
        <v>6</v>
      </c>
      <c r="AC38" s="51" t="str">
        <f t="shared" si="2"/>
        <v>6, -9</v>
      </c>
    </row>
    <row r="39" spans="1:48" x14ac:dyDescent="0.3">
      <c r="A39" s="20" cm="1">
        <f t="array" ref="A39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2</v>
      </c>
      <c r="B39" s="20" cm="1">
        <f t="array" ref="B39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-2</v>
      </c>
      <c r="C39" s="20" t="str" cm="1">
        <f t="array" ref="C39">IF(MOD(ROW(),3)=2,      INDEX(Maze!A:A,QUOTIENT(ROW()+1,3) + 1),
IF(MOD(ROW(),3)=0,         INDEX(Maze!B:B,QUOTIENT(ROW()+1,3) + 1),       0))</f>
        <v>Application2</v>
      </c>
      <c r="Z39" s="124" cm="1">
        <f t="array" ref="Z39">INDEX(Map!$B$2:$V$22,-Paths!AA39+11,Paths!AB39+11)</f>
        <v>0</v>
      </c>
      <c r="AA39" s="125">
        <f t="shared" si="0"/>
        <v>-9</v>
      </c>
      <c r="AB39" s="125">
        <f t="shared" si="1"/>
        <v>7</v>
      </c>
      <c r="AC39" s="51" t="str">
        <f t="shared" si="2"/>
        <v>7, -9</v>
      </c>
    </row>
    <row r="40" spans="1:48" x14ac:dyDescent="0.3">
      <c r="A40" s="31"/>
      <c r="B40" s="32"/>
      <c r="C40" s="31"/>
      <c r="Z40" s="124" cm="1">
        <f t="array" ref="Z40">INDEX(Map!$B$2:$V$22,-Paths!AA40+11,Paths!AB40+11)</f>
        <v>0</v>
      </c>
      <c r="AA40" s="125">
        <f t="shared" si="0"/>
        <v>-9</v>
      </c>
      <c r="AB40" s="125">
        <f t="shared" si="1"/>
        <v>8</v>
      </c>
      <c r="AC40" s="51" t="str">
        <f t="shared" si="2"/>
        <v>8, -9</v>
      </c>
    </row>
    <row r="41" spans="1:48" x14ac:dyDescent="0.3">
      <c r="A41" s="20" cm="1">
        <f t="array" ref="A41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2</v>
      </c>
      <c r="B41" s="20" cm="1">
        <f t="array" ref="B41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-2</v>
      </c>
      <c r="C41" s="18" t="str" cm="1">
        <f t="array" ref="C41">IF(MOD(ROW(),3)=2,      INDEX(Maze!A:A,QUOTIENT(ROW()+1,3) + 1),
IF(MOD(ROW(),3)=0,         INDEX(Maze!B:B,QUOTIENT(ROW()+1,3) + 1),       0))</f>
        <v>Application2</v>
      </c>
      <c r="Z41" s="124" cm="1">
        <f t="array" ref="Z41">INDEX(Map!$B$2:$V$22,-Paths!AA41+11,Paths!AB41+11)</f>
        <v>0</v>
      </c>
      <c r="AA41" s="125">
        <f t="shared" si="0"/>
        <v>-9</v>
      </c>
      <c r="AB41" s="125">
        <f t="shared" si="1"/>
        <v>9</v>
      </c>
      <c r="AC41" s="51" t="str">
        <f t="shared" si="2"/>
        <v>9, -9</v>
      </c>
    </row>
    <row r="42" spans="1:48" x14ac:dyDescent="0.3">
      <c r="A42" s="20" cm="1">
        <f t="array" ref="A42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2</v>
      </c>
      <c r="B42" s="20" cm="1">
        <f t="array" ref="B42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-3</v>
      </c>
      <c r="C42" s="20" t="str" cm="1">
        <f t="array" ref="C42">IF(MOD(ROW(),3)=2,      INDEX(Maze!A:A,QUOTIENT(ROW()+1,3) + 1),
IF(MOD(ROW(),3)=0,         INDEX(Maze!B:B,QUOTIENT(ROW()+1,3) + 1),       0))</f>
        <v>Application3</v>
      </c>
      <c r="Z42" s="124" cm="1">
        <f t="array" ref="Z42">INDEX(Map!$B$2:$V$22,-Paths!AA42+11,Paths!AB42+11)</f>
        <v>0</v>
      </c>
      <c r="AA42" s="125">
        <f t="shared" si="0"/>
        <v>-9</v>
      </c>
      <c r="AB42" s="125">
        <f t="shared" si="1"/>
        <v>10</v>
      </c>
      <c r="AC42" s="51" t="str">
        <f t="shared" si="2"/>
        <v>10, -9</v>
      </c>
    </row>
    <row r="43" spans="1:48" x14ac:dyDescent="0.3">
      <c r="A43" s="31"/>
      <c r="B43" s="32"/>
      <c r="C43" s="31"/>
      <c r="Z43" s="124" cm="1">
        <f t="array" ref="Z43">INDEX(Map!$B$2:$V$22,-Paths!AA43+11,Paths!AB43+11)</f>
        <v>0</v>
      </c>
      <c r="AA43" s="125">
        <f t="shared" si="0"/>
        <v>-8</v>
      </c>
      <c r="AB43" s="125">
        <f t="shared" si="1"/>
        <v>-10</v>
      </c>
      <c r="AC43" s="51" t="str">
        <f t="shared" si="2"/>
        <v>-10, -8</v>
      </c>
    </row>
    <row r="44" spans="1:48" x14ac:dyDescent="0.3">
      <c r="A44" s="20" cm="1">
        <f t="array" ref="A44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2</v>
      </c>
      <c r="B44" s="20" cm="1">
        <f t="array" ref="B44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-3</v>
      </c>
      <c r="C44" s="18" t="str" cm="1">
        <f t="array" ref="C44">IF(MOD(ROW(),3)=2,      INDEX(Maze!A:A,QUOTIENT(ROW()+1,3) + 1),
IF(MOD(ROW(),3)=0,         INDEX(Maze!B:B,QUOTIENT(ROW()+1,3) + 1),       0))</f>
        <v>Application3</v>
      </c>
      <c r="Z44" s="124" cm="1">
        <f t="array" ref="Z44">INDEX(Map!$B$2:$V$22,-Paths!AA44+11,Paths!AB44+11)</f>
        <v>0</v>
      </c>
      <c r="AA44" s="125">
        <f t="shared" si="0"/>
        <v>-8</v>
      </c>
      <c r="AB44" s="125">
        <f t="shared" si="1"/>
        <v>-9</v>
      </c>
      <c r="AC44" s="51" t="str">
        <f t="shared" si="2"/>
        <v>-9, -8</v>
      </c>
    </row>
    <row r="45" spans="1:48" x14ac:dyDescent="0.3">
      <c r="A45" s="20" cm="1">
        <f t="array" ref="A45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2</v>
      </c>
      <c r="B45" s="20" cm="1">
        <f t="array" ref="B45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-4</v>
      </c>
      <c r="C45" s="20" t="str" cm="1">
        <f t="array" ref="C45">IF(MOD(ROW(),3)=2,      INDEX(Maze!A:A,QUOTIENT(ROW()+1,3) + 1),
IF(MOD(ROW(),3)=0,         INDEX(Maze!B:B,QUOTIENT(ROW()+1,3) + 1),       0))</f>
        <v>Application4</v>
      </c>
      <c r="Z45" s="124" cm="1">
        <f t="array" ref="Z45">INDEX(Map!$B$2:$V$22,-Paths!AA45+11,Paths!AB45+11)</f>
        <v>0</v>
      </c>
      <c r="AA45" s="125">
        <f t="shared" si="0"/>
        <v>-8</v>
      </c>
      <c r="AB45" s="125">
        <f t="shared" si="1"/>
        <v>-8</v>
      </c>
      <c r="AC45" s="51" t="str">
        <f t="shared" si="2"/>
        <v>-8, -8</v>
      </c>
    </row>
    <row r="46" spans="1:48" x14ac:dyDescent="0.3">
      <c r="A46" s="31"/>
      <c r="B46" s="32"/>
      <c r="C46" s="31"/>
      <c r="Z46" s="124" cm="1">
        <f t="array" ref="Z46">INDEX(Map!$B$2:$V$22,-Paths!AA46+11,Paths!AB46+11)</f>
        <v>0</v>
      </c>
      <c r="AA46" s="125">
        <f t="shared" si="0"/>
        <v>-8</v>
      </c>
      <c r="AB46" s="125">
        <f t="shared" si="1"/>
        <v>-7</v>
      </c>
      <c r="AC46" s="51" t="str">
        <f t="shared" si="2"/>
        <v>-7, -8</v>
      </c>
    </row>
    <row r="47" spans="1:48" x14ac:dyDescent="0.3">
      <c r="A47" s="20" cm="1">
        <f t="array" ref="A47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2</v>
      </c>
      <c r="B47" s="20" cm="1">
        <f t="array" ref="B47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-4</v>
      </c>
      <c r="C47" s="18" t="str" cm="1">
        <f t="array" ref="C47">IF(MOD(ROW(),3)=2,      INDEX(Maze!A:A,QUOTIENT(ROW()+1,3) + 1),
IF(MOD(ROW(),3)=0,         INDEX(Maze!B:B,QUOTIENT(ROW()+1,3) + 1),       0))</f>
        <v>Application4</v>
      </c>
      <c r="Z47" s="124" cm="1">
        <f t="array" ref="Z47">INDEX(Map!$B$2:$V$22,-Paths!AA47+11,Paths!AB47+11)</f>
        <v>0</v>
      </c>
      <c r="AA47" s="125">
        <f t="shared" si="0"/>
        <v>-8</v>
      </c>
      <c r="AB47" s="125">
        <f t="shared" si="1"/>
        <v>-6</v>
      </c>
      <c r="AC47" s="51" t="str">
        <f t="shared" si="2"/>
        <v>-6, -8</v>
      </c>
    </row>
    <row r="48" spans="1:48" x14ac:dyDescent="0.3">
      <c r="A48" s="20" cm="1">
        <f t="array" ref="A48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2</v>
      </c>
      <c r="B48" s="20" cm="1">
        <f t="array" ref="B48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-5</v>
      </c>
      <c r="C48" s="20" t="str" cm="1">
        <f t="array" ref="C48">IF(MOD(ROW(),3)=2,      INDEX(Maze!A:A,QUOTIENT(ROW()+1,3) + 1),
IF(MOD(ROW(),3)=0,         INDEX(Maze!B:B,QUOTIENT(ROW()+1,3) + 1),       0))</f>
        <v>Application5</v>
      </c>
      <c r="Z48" s="124" cm="1">
        <f t="array" ref="Z48">INDEX(Map!$B$2:$V$22,-Paths!AA48+11,Paths!AB48+11)</f>
        <v>0</v>
      </c>
      <c r="AA48" s="125">
        <f t="shared" si="0"/>
        <v>-8</v>
      </c>
      <c r="AB48" s="125">
        <f t="shared" si="1"/>
        <v>-5</v>
      </c>
      <c r="AC48" s="51" t="str">
        <f t="shared" si="2"/>
        <v>-5, -8</v>
      </c>
      <c r="AV48" s="3">
        <v>1</v>
      </c>
    </row>
    <row r="49" spans="1:29" x14ac:dyDescent="0.3">
      <c r="A49" s="31"/>
      <c r="B49" s="32"/>
      <c r="C49" s="31"/>
      <c r="Z49" s="124" cm="1">
        <f t="array" ref="Z49">INDEX(Map!$B$2:$V$22,-Paths!AA49+11,Paths!AB49+11)</f>
        <v>0</v>
      </c>
      <c r="AA49" s="125">
        <f t="shared" si="0"/>
        <v>-8</v>
      </c>
      <c r="AB49" s="125">
        <f t="shared" si="1"/>
        <v>-4</v>
      </c>
      <c r="AC49" s="51" t="str">
        <f t="shared" si="2"/>
        <v>-4, -8</v>
      </c>
    </row>
    <row r="50" spans="1:29" x14ac:dyDescent="0.3">
      <c r="A50" s="20" cm="1">
        <f t="array" ref="A50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2</v>
      </c>
      <c r="B50" s="20" cm="1">
        <f t="array" ref="B50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-5</v>
      </c>
      <c r="C50" s="18" t="str" cm="1">
        <f t="array" ref="C50">IF(MOD(ROW(),3)=2,      INDEX(Maze!A:A,QUOTIENT(ROW()+1,3) + 1),
IF(MOD(ROW(),3)=0,         INDEX(Maze!B:B,QUOTIENT(ROW()+1,3) + 1),       0))</f>
        <v>Application5</v>
      </c>
      <c r="Z50" s="124" cm="1">
        <f t="array" ref="Z50">INDEX(Map!$B$2:$V$22,-Paths!AA50+11,Paths!AB50+11)</f>
        <v>0</v>
      </c>
      <c r="AA50" s="125">
        <f t="shared" si="0"/>
        <v>-8</v>
      </c>
      <c r="AB50" s="125">
        <f t="shared" si="1"/>
        <v>-3</v>
      </c>
      <c r="AC50" s="51" t="str">
        <f t="shared" si="2"/>
        <v>-3, -8</v>
      </c>
    </row>
    <row r="51" spans="1:29" x14ac:dyDescent="0.3">
      <c r="A51" s="20" cm="1">
        <f t="array" ref="A51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2</v>
      </c>
      <c r="B51" s="20" cm="1">
        <f t="array" ref="B51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-6</v>
      </c>
      <c r="C51" s="20" t="str" cm="1">
        <f t="array" ref="C51">IF(MOD(ROW(),3)=2,      INDEX(Maze!A:A,QUOTIENT(ROW()+1,3) + 1),
IF(MOD(ROW(),3)=0,         INDEX(Maze!B:B,QUOTIENT(ROW()+1,3) + 1),       0))</f>
        <v>Application6</v>
      </c>
      <c r="Z51" s="124" cm="1">
        <f t="array" ref="Z51">INDEX(Map!$B$2:$V$22,-Paths!AA51+11,Paths!AB51+11)</f>
        <v>0</v>
      </c>
      <c r="AA51" s="125">
        <f t="shared" si="0"/>
        <v>-8</v>
      </c>
      <c r="AB51" s="125">
        <f t="shared" si="1"/>
        <v>-2</v>
      </c>
      <c r="AC51" s="51" t="str">
        <f t="shared" si="2"/>
        <v>-2, -8</v>
      </c>
    </row>
    <row r="52" spans="1:29" x14ac:dyDescent="0.3">
      <c r="A52" s="31"/>
      <c r="B52" s="32"/>
      <c r="C52" s="31"/>
      <c r="Z52" s="124" cm="1">
        <f t="array" ref="Z52">INDEX(Map!$B$2:$V$22,-Paths!AA52+11,Paths!AB52+11)</f>
        <v>0</v>
      </c>
      <c r="AA52" s="125">
        <f t="shared" si="0"/>
        <v>-8</v>
      </c>
      <c r="AB52" s="125">
        <f t="shared" si="1"/>
        <v>-1</v>
      </c>
      <c r="AC52" s="51" t="str">
        <f t="shared" si="2"/>
        <v>-1, -8</v>
      </c>
    </row>
    <row r="53" spans="1:29" x14ac:dyDescent="0.3">
      <c r="A53" s="20" cm="1">
        <f t="array" ref="A53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53" s="20" cm="1">
        <f t="array" ref="B53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53" s="18" cm="1">
        <f t="array" ref="C53">IF(MOD(ROW(),3)=2,      INDEX(Maze!A:A,QUOTIENT(ROW()+1,3) + 1),
IF(MOD(ROW(),3)=0,         INDEX(Maze!B:B,QUOTIENT(ROW()+1,3) + 1),       0))</f>
        <v>0</v>
      </c>
      <c r="Z53" s="124" cm="1">
        <f t="array" ref="Z53">INDEX(Map!$B$2:$V$22,-Paths!AA53+11,Paths!AB53+11)</f>
        <v>0</v>
      </c>
      <c r="AA53" s="125">
        <f t="shared" si="0"/>
        <v>-8</v>
      </c>
      <c r="AB53" s="125">
        <f t="shared" si="1"/>
        <v>0</v>
      </c>
      <c r="AC53" s="51" t="str">
        <f t="shared" si="2"/>
        <v>0, -8</v>
      </c>
    </row>
    <row r="54" spans="1:29" x14ac:dyDescent="0.3">
      <c r="A54" s="20" cm="1">
        <f t="array" ref="A54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54" s="20" cm="1">
        <f t="array" ref="B54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54" s="20" cm="1">
        <f t="array" ref="C54">IF(MOD(ROW(),3)=2,      INDEX(Maze!A:A,QUOTIENT(ROW()+1,3) + 1),
IF(MOD(ROW(),3)=0,         INDEX(Maze!B:B,QUOTIENT(ROW()+1,3) + 1),       0))</f>
        <v>0</v>
      </c>
      <c r="Z54" s="124" cm="1">
        <f t="array" ref="Z54">INDEX(Map!$B$2:$V$22,-Paths!AA54+11,Paths!AB54+11)</f>
        <v>0</v>
      </c>
      <c r="AA54" s="125">
        <f t="shared" si="0"/>
        <v>-8</v>
      </c>
      <c r="AB54" s="125">
        <f t="shared" si="1"/>
        <v>1</v>
      </c>
      <c r="AC54" s="51" t="str">
        <f t="shared" si="2"/>
        <v>1, -8</v>
      </c>
    </row>
    <row r="55" spans="1:29" x14ac:dyDescent="0.3">
      <c r="A55" s="31"/>
      <c r="B55" s="32"/>
      <c r="C55" s="31"/>
      <c r="Z55" s="124" t="str" cm="1">
        <f t="array" ref="Z55">INDEX(Map!$B$2:$V$22,-Paths!AA55+11,Paths!AB55+11)</f>
        <v>Teleport2</v>
      </c>
      <c r="AA55" s="125">
        <f t="shared" si="0"/>
        <v>-8</v>
      </c>
      <c r="AB55" s="125">
        <f t="shared" si="1"/>
        <v>2</v>
      </c>
      <c r="AC55" s="51" t="str">
        <f t="shared" si="2"/>
        <v>2, -8</v>
      </c>
    </row>
    <row r="56" spans="1:29" x14ac:dyDescent="0.3">
      <c r="A56" s="20" cm="1">
        <f t="array" ref="A56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3</v>
      </c>
      <c r="B56" s="20" cm="1">
        <f t="array" ref="B56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56" s="18" t="str" cm="1">
        <f t="array" ref="C56">IF(MOD(ROW(),3)=2,      INDEX(Maze!A:A,QUOTIENT(ROW()+1,3) + 1),
IF(MOD(ROW(),3)=0,         INDEX(Maze!B:B,QUOTIENT(ROW()+1,3) + 1),       0))</f>
        <v>Benefits</v>
      </c>
      <c r="Z56" s="124" cm="1">
        <f t="array" ref="Z56">INDEX(Map!$B$2:$V$22,-Paths!AA56+11,Paths!AB56+11)</f>
        <v>0</v>
      </c>
      <c r="AA56" s="125">
        <f t="shared" si="0"/>
        <v>-8</v>
      </c>
      <c r="AB56" s="125">
        <f t="shared" si="1"/>
        <v>3</v>
      </c>
      <c r="AC56" s="51" t="str">
        <f t="shared" si="2"/>
        <v>3, -8</v>
      </c>
    </row>
    <row r="57" spans="1:29" x14ac:dyDescent="0.3">
      <c r="A57" s="20" cm="1">
        <f t="array" ref="A57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3</v>
      </c>
      <c r="B57" s="20" cm="1">
        <f t="array" ref="B57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1</v>
      </c>
      <c r="C57" s="20" t="str" cm="1">
        <f t="array" ref="C57">IF(MOD(ROW(),3)=2,      INDEX(Maze!A:A,QUOTIENT(ROW()+1,3) + 1),
IF(MOD(ROW(),3)=0,         INDEX(Maze!B:B,QUOTIENT(ROW()+1,3) + 1),       0))</f>
        <v>Benefit1</v>
      </c>
      <c r="Z57" s="124" cm="1">
        <f t="array" ref="Z57">INDEX(Map!$B$2:$V$22,-Paths!AA57+11,Paths!AB57+11)</f>
        <v>0</v>
      </c>
      <c r="AA57" s="125">
        <f t="shared" si="0"/>
        <v>-8</v>
      </c>
      <c r="AB57" s="125">
        <f t="shared" si="1"/>
        <v>4</v>
      </c>
      <c r="AC57" s="51" t="str">
        <f t="shared" si="2"/>
        <v>4, -8</v>
      </c>
    </row>
    <row r="58" spans="1:29" x14ac:dyDescent="0.3">
      <c r="A58" s="31"/>
      <c r="B58" s="32"/>
      <c r="C58" s="31"/>
      <c r="Z58" s="124" cm="1">
        <f t="array" ref="Z58">INDEX(Map!$B$2:$V$22,-Paths!AA58+11,Paths!AB58+11)</f>
        <v>0</v>
      </c>
      <c r="AA58" s="125">
        <f t="shared" si="0"/>
        <v>-8</v>
      </c>
      <c r="AB58" s="125">
        <f t="shared" si="1"/>
        <v>5</v>
      </c>
      <c r="AC58" s="51" t="str">
        <f t="shared" si="2"/>
        <v>5, -8</v>
      </c>
    </row>
    <row r="59" spans="1:29" x14ac:dyDescent="0.3">
      <c r="A59" s="20" cm="1">
        <f t="array" ref="A59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3</v>
      </c>
      <c r="B59" s="20" cm="1">
        <f t="array" ref="B59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1</v>
      </c>
      <c r="C59" s="18" t="str" cm="1">
        <f t="array" ref="C59">IF(MOD(ROW(),3)=2,      INDEX(Maze!A:A,QUOTIENT(ROW()+1,3) + 1),
IF(MOD(ROW(),3)=0,         INDEX(Maze!B:B,QUOTIENT(ROW()+1,3) + 1),       0))</f>
        <v>Benefit1</v>
      </c>
      <c r="Z59" s="124" cm="1">
        <f t="array" ref="Z59">INDEX(Map!$B$2:$V$22,-Paths!AA59+11,Paths!AB59+11)</f>
        <v>0</v>
      </c>
      <c r="AA59" s="125">
        <f t="shared" si="0"/>
        <v>-8</v>
      </c>
      <c r="AB59" s="125">
        <f t="shared" si="1"/>
        <v>6</v>
      </c>
      <c r="AC59" s="51" t="str">
        <f t="shared" si="2"/>
        <v>6, -8</v>
      </c>
    </row>
    <row r="60" spans="1:29" x14ac:dyDescent="0.3">
      <c r="A60" s="20" cm="1">
        <f t="array" ref="A60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3</v>
      </c>
      <c r="B60" s="20" cm="1">
        <f t="array" ref="B60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2</v>
      </c>
      <c r="C60" s="20" t="str" cm="1">
        <f t="array" ref="C60">IF(MOD(ROW(),3)=2,      INDEX(Maze!A:A,QUOTIENT(ROW()+1,3) + 1),
IF(MOD(ROW(),3)=0,         INDEX(Maze!B:B,QUOTIENT(ROW()+1,3) + 1),       0))</f>
        <v>Benefit2</v>
      </c>
      <c r="Z60" s="124" cm="1">
        <f t="array" ref="Z60">INDEX(Map!$B$2:$V$22,-Paths!AA60+11,Paths!AB60+11)</f>
        <v>0</v>
      </c>
      <c r="AA60" s="125">
        <f t="shared" si="0"/>
        <v>-8</v>
      </c>
      <c r="AB60" s="125">
        <f t="shared" si="1"/>
        <v>7</v>
      </c>
      <c r="AC60" s="51" t="str">
        <f t="shared" si="2"/>
        <v>7, -8</v>
      </c>
    </row>
    <row r="61" spans="1:29" ht="15" thickBot="1" x14ac:dyDescent="0.35">
      <c r="A61" s="31"/>
      <c r="B61" s="32"/>
      <c r="C61" s="31"/>
      <c r="Z61" s="124" cm="1">
        <f t="array" ref="Z61">INDEX(Map!$B$2:$V$22,-Paths!AA61+11,Paths!AB61+11)</f>
        <v>0</v>
      </c>
      <c r="AA61" s="125">
        <f t="shared" si="0"/>
        <v>-8</v>
      </c>
      <c r="AB61" s="125">
        <f t="shared" si="1"/>
        <v>8</v>
      </c>
      <c r="AC61" s="51" t="str">
        <f t="shared" si="2"/>
        <v>8, -8</v>
      </c>
    </row>
    <row r="62" spans="1:29" ht="14.4" customHeight="1" x14ac:dyDescent="0.3">
      <c r="A62" s="20" cm="1">
        <f t="array" ref="A62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3</v>
      </c>
      <c r="B62" s="20" cm="1">
        <f t="array" ref="B62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2</v>
      </c>
      <c r="C62" s="68" t="str" cm="1">
        <f t="array" ref="C62">IF(MOD(ROW(),3)=2,      INDEX(Maze!A:A,QUOTIENT(ROW()+1,3) + 1),
IF(MOD(ROW(),3)=0,         INDEX(Maze!B:B,QUOTIENT(ROW()+1,3) + 1),       0))</f>
        <v>Benefit2</v>
      </c>
      <c r="D62" s="185" t="s">
        <v>109</v>
      </c>
      <c r="Z62" s="124" cm="1">
        <f t="array" ref="Z62">INDEX(Map!$B$2:$V$22,-Paths!AA62+11,Paths!AB62+11)</f>
        <v>0</v>
      </c>
      <c r="AA62" s="125">
        <f t="shared" si="0"/>
        <v>-8</v>
      </c>
      <c r="AB62" s="125">
        <f t="shared" si="1"/>
        <v>9</v>
      </c>
      <c r="AC62" s="51" t="str">
        <f t="shared" si="2"/>
        <v>9, -8</v>
      </c>
    </row>
    <row r="63" spans="1:29" x14ac:dyDescent="0.3">
      <c r="A63" s="20" cm="1">
        <f t="array" ref="A63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3</v>
      </c>
      <c r="B63" s="20" cm="1">
        <f t="array" ref="B63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3</v>
      </c>
      <c r="C63" s="24" t="str" cm="1">
        <f t="array" ref="C63">IF(MOD(ROW(),3)=2,      INDEX(Maze!A:A,QUOTIENT(ROW()+1,3) + 1),
IF(MOD(ROW(),3)=0,         INDEX(Maze!B:B,QUOTIENT(ROW()+1,3) + 1),       0))</f>
        <v>Benefit3</v>
      </c>
      <c r="D63" s="186"/>
      <c r="Z63" s="124" cm="1">
        <f t="array" ref="Z63">INDEX(Map!$B$2:$V$22,-Paths!AA63+11,Paths!AB63+11)</f>
        <v>0</v>
      </c>
      <c r="AA63" s="125">
        <f t="shared" si="0"/>
        <v>-8</v>
      </c>
      <c r="AB63" s="125">
        <f t="shared" si="1"/>
        <v>10</v>
      </c>
      <c r="AC63" s="51" t="str">
        <f t="shared" si="2"/>
        <v>10, -8</v>
      </c>
    </row>
    <row r="64" spans="1:29" ht="15" thickBot="1" x14ac:dyDescent="0.35">
      <c r="A64" s="31"/>
      <c r="B64" s="32"/>
      <c r="C64" s="66"/>
      <c r="D64" s="187"/>
      <c r="Z64" s="124" cm="1">
        <f t="array" ref="Z64">INDEX(Map!$B$2:$V$22,-Paths!AA64+11,Paths!AB64+11)</f>
        <v>0</v>
      </c>
      <c r="AA64" s="125">
        <f t="shared" si="0"/>
        <v>-7</v>
      </c>
      <c r="AB64" s="125">
        <f t="shared" si="1"/>
        <v>-10</v>
      </c>
      <c r="AC64" s="51" t="str">
        <f t="shared" si="2"/>
        <v>-10, -7</v>
      </c>
    </row>
    <row r="65" spans="1:29" x14ac:dyDescent="0.3">
      <c r="A65" s="20" cm="1">
        <f t="array" ref="A65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3</v>
      </c>
      <c r="B65" s="20" cm="1">
        <f t="array" ref="B65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3</v>
      </c>
      <c r="C65" s="68" t="str" cm="1">
        <f t="array" ref="C65">IF(MOD(ROW(),3)=2,      INDEX(Maze!A:A,QUOTIENT(ROW()+1,3) + 1),
IF(MOD(ROW(),3)=0,         INDEX(Maze!B:B,QUOTIENT(ROW()+1,3) + 1),       0))</f>
        <v>Benefit3</v>
      </c>
      <c r="Z65" s="124" cm="1">
        <f t="array" ref="Z65">INDEX(Map!$B$2:$V$22,-Paths!AA65+11,Paths!AB65+11)</f>
        <v>0</v>
      </c>
      <c r="AA65" s="125">
        <f t="shared" ref="AA65:AA128" si="3">QUOTIENT(ROW(AB65)-1,21)-10</f>
        <v>-7</v>
      </c>
      <c r="AB65" s="125">
        <f t="shared" ref="AB65:AB128" si="4">MOD(ROW(AB65)-1,21)-10</f>
        <v>-9</v>
      </c>
      <c r="AC65" s="51" t="str">
        <f t="shared" si="2"/>
        <v>-9, -7</v>
      </c>
    </row>
    <row r="66" spans="1:29" x14ac:dyDescent="0.3">
      <c r="A66" s="20" cm="1">
        <f t="array" ref="A66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3</v>
      </c>
      <c r="B66" s="20" cm="1">
        <f t="array" ref="B66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4</v>
      </c>
      <c r="C66" s="24" t="str" cm="1">
        <f t="array" ref="C66">IF(MOD(ROW(),3)=2,      INDEX(Maze!A:A,QUOTIENT(ROW()+1,3) + 1),
IF(MOD(ROW(),3)=0,         INDEX(Maze!B:B,QUOTIENT(ROW()+1,3) + 1),       0))</f>
        <v>Benefit4</v>
      </c>
      <c r="Z66" s="124" cm="1">
        <f t="array" ref="Z66">INDEX(Map!$B$2:$V$22,-Paths!AA66+11,Paths!AB66+11)</f>
        <v>0</v>
      </c>
      <c r="AA66" s="125">
        <f t="shared" si="3"/>
        <v>-7</v>
      </c>
      <c r="AB66" s="125">
        <f t="shared" si="4"/>
        <v>-8</v>
      </c>
      <c r="AC66" s="51" t="str">
        <f t="shared" ref="AC66:AC129" si="5">AB66&amp;", "&amp;AA66</f>
        <v>-8, -7</v>
      </c>
    </row>
    <row r="67" spans="1:29" x14ac:dyDescent="0.3">
      <c r="A67" s="31"/>
      <c r="B67" s="32"/>
      <c r="C67" s="66"/>
      <c r="Z67" s="124" cm="1">
        <f t="array" ref="Z67">INDEX(Map!$B$2:$V$22,-Paths!AA67+11,Paths!AB67+11)</f>
        <v>0</v>
      </c>
      <c r="AA67" s="125">
        <f t="shared" si="3"/>
        <v>-7</v>
      </c>
      <c r="AB67" s="125">
        <f t="shared" si="4"/>
        <v>-7</v>
      </c>
      <c r="AC67" s="51" t="str">
        <f t="shared" si="5"/>
        <v>-7, -7</v>
      </c>
    </row>
    <row r="68" spans="1:29" x14ac:dyDescent="0.3">
      <c r="A68" s="20" cm="1">
        <f t="array" ref="A68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3</v>
      </c>
      <c r="B68" s="20" cm="1">
        <f t="array" ref="B68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4</v>
      </c>
      <c r="C68" s="68" t="str" cm="1">
        <f t="array" ref="C68">IF(MOD(ROW(),3)=2,      INDEX(Maze!A:A,QUOTIENT(ROW()+1,3) + 1),
IF(MOD(ROW(),3)=0,         INDEX(Maze!B:B,QUOTIENT(ROW()+1,3) + 1),       0))</f>
        <v>Benefit4</v>
      </c>
      <c r="Z68" s="124" cm="1">
        <f t="array" ref="Z68">INDEX(Map!$B$2:$V$22,-Paths!AA68+11,Paths!AB68+11)</f>
        <v>0</v>
      </c>
      <c r="AA68" s="125">
        <f t="shared" si="3"/>
        <v>-7</v>
      </c>
      <c r="AB68" s="125">
        <f t="shared" si="4"/>
        <v>-6</v>
      </c>
      <c r="AC68" s="51" t="str">
        <f t="shared" si="5"/>
        <v>-6, -7</v>
      </c>
    </row>
    <row r="69" spans="1:29" x14ac:dyDescent="0.3">
      <c r="A69" s="20" cm="1">
        <f t="array" ref="A69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3</v>
      </c>
      <c r="B69" s="20" cm="1">
        <f t="array" ref="B69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5</v>
      </c>
      <c r="C69" s="24" t="str" cm="1">
        <f t="array" ref="C69">IF(MOD(ROW(),3)=2,      INDEX(Maze!A:A,QUOTIENT(ROW()+1,3) + 1),
IF(MOD(ROW(),3)=0,         INDEX(Maze!B:B,QUOTIENT(ROW()+1,3) + 1),       0))</f>
        <v>Benefit5</v>
      </c>
      <c r="Z69" s="124" cm="1">
        <f t="array" ref="Z69">INDEX(Map!$B$2:$V$22,-Paths!AA69+11,Paths!AB69+11)</f>
        <v>0</v>
      </c>
      <c r="AA69" s="125">
        <f t="shared" si="3"/>
        <v>-7</v>
      </c>
      <c r="AB69" s="125">
        <f t="shared" si="4"/>
        <v>-5</v>
      </c>
      <c r="AC69" s="51" t="str">
        <f t="shared" si="5"/>
        <v>-5, -7</v>
      </c>
    </row>
    <row r="70" spans="1:29" x14ac:dyDescent="0.3">
      <c r="A70" s="31"/>
      <c r="B70" s="32"/>
      <c r="C70" s="66"/>
      <c r="Z70" s="124" cm="1">
        <f t="array" ref="Z70">INDEX(Map!$B$2:$V$22,-Paths!AA70+11,Paths!AB70+11)</f>
        <v>0</v>
      </c>
      <c r="AA70" s="125">
        <f t="shared" si="3"/>
        <v>-7</v>
      </c>
      <c r="AB70" s="125">
        <f t="shared" si="4"/>
        <v>-4</v>
      </c>
      <c r="AC70" s="51" t="str">
        <f t="shared" si="5"/>
        <v>-4, -7</v>
      </c>
    </row>
    <row r="71" spans="1:29" x14ac:dyDescent="0.3">
      <c r="A71" s="20" cm="1">
        <f t="array" ref="A71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3</v>
      </c>
      <c r="B71" s="20" cm="1">
        <f t="array" ref="B71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5</v>
      </c>
      <c r="C71" s="68" t="str" cm="1">
        <f t="array" ref="C71">IF(MOD(ROW(),3)=2,      INDEX(Maze!A:A,QUOTIENT(ROW()+1,3) + 1),
IF(MOD(ROW(),3)=0,         INDEX(Maze!B:B,QUOTIENT(ROW()+1,3) + 1),       0))</f>
        <v>Benefit5</v>
      </c>
      <c r="Z71" s="124" cm="1">
        <f t="array" ref="Z71">INDEX(Map!$B$2:$V$22,-Paths!AA71+11,Paths!AB71+11)</f>
        <v>0</v>
      </c>
      <c r="AA71" s="125">
        <f t="shared" si="3"/>
        <v>-7</v>
      </c>
      <c r="AB71" s="125">
        <f t="shared" si="4"/>
        <v>-3</v>
      </c>
      <c r="AC71" s="51" t="str">
        <f t="shared" si="5"/>
        <v>-3, -7</v>
      </c>
    </row>
    <row r="72" spans="1:29" x14ac:dyDescent="0.3">
      <c r="A72" s="20" cm="1">
        <f t="array" ref="A72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3</v>
      </c>
      <c r="B72" s="20" cm="1">
        <f t="array" ref="B72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6</v>
      </c>
      <c r="C72" s="24" t="str" cm="1">
        <f t="array" ref="C72">IF(MOD(ROW(),3)=2,      INDEX(Maze!A:A,QUOTIENT(ROW()+1,3) + 1),
IF(MOD(ROW(),3)=0,         INDEX(Maze!B:B,QUOTIENT(ROW()+1,3) + 1),       0))</f>
        <v>Benefit6</v>
      </c>
      <c r="Z72" s="124" cm="1">
        <f t="array" ref="Z72">INDEX(Map!$B$2:$V$22,-Paths!AA72+11,Paths!AB72+11)</f>
        <v>0</v>
      </c>
      <c r="AA72" s="125">
        <f t="shared" si="3"/>
        <v>-7</v>
      </c>
      <c r="AB72" s="125">
        <f t="shared" si="4"/>
        <v>-2</v>
      </c>
      <c r="AC72" s="51" t="str">
        <f t="shared" si="5"/>
        <v>-2, -7</v>
      </c>
    </row>
    <row r="73" spans="1:29" x14ac:dyDescent="0.3">
      <c r="A73" s="31"/>
      <c r="B73" s="32"/>
      <c r="C73" s="66"/>
      <c r="Z73" s="124" cm="1">
        <f t="array" ref="Z73">INDEX(Map!$B$2:$V$22,-Paths!AA73+11,Paths!AB73+11)</f>
        <v>0</v>
      </c>
      <c r="AA73" s="125">
        <f t="shared" si="3"/>
        <v>-7</v>
      </c>
      <c r="AB73" s="125">
        <f t="shared" si="4"/>
        <v>-1</v>
      </c>
      <c r="AC73" s="51" t="str">
        <f t="shared" si="5"/>
        <v>-1, -7</v>
      </c>
    </row>
    <row r="74" spans="1:29" x14ac:dyDescent="0.3">
      <c r="A74" s="20" cm="1">
        <f t="array" ref="A74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74" s="20" cm="1">
        <f t="array" ref="B74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74" s="68" t="str" cm="1">
        <f t="array" ref="C74">IF(MOD(ROW(),3)=2,      INDEX(Maze!A:A,QUOTIENT(ROW()+1,3) + 1),
IF(MOD(ROW(),3)=0,         INDEX(Maze!B:B,QUOTIENT(ROW()+1,3) + 1),       0))</f>
        <v>Benefit6</v>
      </c>
      <c r="Z74" s="124" cm="1">
        <f t="array" ref="Z74">INDEX(Map!$B$2:$V$22,-Paths!AA74+11,Paths!AB74+11)</f>
        <v>0</v>
      </c>
      <c r="AA74" s="125">
        <f t="shared" si="3"/>
        <v>-7</v>
      </c>
      <c r="AB74" s="125">
        <f t="shared" si="4"/>
        <v>0</v>
      </c>
      <c r="AC74" s="51" t="str">
        <f t="shared" si="5"/>
        <v>0, -7</v>
      </c>
    </row>
    <row r="75" spans="1:29" x14ac:dyDescent="0.3">
      <c r="A75" s="20" cm="1">
        <f t="array" ref="A75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75" s="20" cm="1">
        <f t="array" ref="B75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75" s="24" t="str" cm="1">
        <f t="array" ref="C75">IF(MOD(ROW(),3)=2,      INDEX(Maze!A:A,QUOTIENT(ROW()+1,3) + 1),
IF(MOD(ROW(),3)=0,         INDEX(Maze!B:B,QUOTIENT(ROW()+1,3) + 1),       0))</f>
        <v>Feature6</v>
      </c>
      <c r="Z75" s="124" cm="1">
        <f t="array" ref="Z75">INDEX(Map!$B$2:$V$22,-Paths!AA75+11,Paths!AB75+11)</f>
        <v>0</v>
      </c>
      <c r="AA75" s="125">
        <f t="shared" si="3"/>
        <v>-7</v>
      </c>
      <c r="AB75" s="125">
        <f t="shared" si="4"/>
        <v>1</v>
      </c>
      <c r="AC75" s="51" t="str">
        <f t="shared" si="5"/>
        <v>1, -7</v>
      </c>
    </row>
    <row r="76" spans="1:29" x14ac:dyDescent="0.3">
      <c r="A76" s="31"/>
      <c r="B76" s="32"/>
      <c r="C76" s="66"/>
      <c r="Z76" s="124" cm="1">
        <f t="array" ref="Z76">INDEX(Map!$B$2:$V$22,-Paths!AA76+11,Paths!AB76+11)</f>
        <v>0</v>
      </c>
      <c r="AA76" s="125">
        <f t="shared" si="3"/>
        <v>-7</v>
      </c>
      <c r="AB76" s="125">
        <f t="shared" si="4"/>
        <v>2</v>
      </c>
      <c r="AC76" s="51" t="str">
        <f t="shared" si="5"/>
        <v>2, -7</v>
      </c>
    </row>
    <row r="77" spans="1:29" x14ac:dyDescent="0.3">
      <c r="A77" s="20" cm="1">
        <f t="array" ref="A77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77" s="20" cm="1">
        <f t="array" ref="B77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77" s="68" cm="1">
        <f t="array" ref="C77">IF(MOD(ROW(),3)=2,      INDEX(Maze!A:A,QUOTIENT(ROW()+1,3) + 1),
IF(MOD(ROW(),3)=0,         INDEX(Maze!B:B,QUOTIENT(ROW()+1,3) + 1),       0))</f>
        <v>0</v>
      </c>
      <c r="Z77" s="124" cm="1">
        <f t="array" ref="Z77">INDEX(Map!$B$2:$V$22,-Paths!AA77+11,Paths!AB77+11)</f>
        <v>0</v>
      </c>
      <c r="AA77" s="125">
        <f t="shared" si="3"/>
        <v>-7</v>
      </c>
      <c r="AB77" s="125">
        <f t="shared" si="4"/>
        <v>3</v>
      </c>
      <c r="AC77" s="51" t="str">
        <f t="shared" si="5"/>
        <v>3, -7</v>
      </c>
    </row>
    <row r="78" spans="1:29" x14ac:dyDescent="0.3">
      <c r="A78" s="20" cm="1">
        <f t="array" ref="A78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78" s="20" cm="1">
        <f t="array" ref="B78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78" s="24" cm="1">
        <f t="array" ref="C78">IF(MOD(ROW(),3)=2,      INDEX(Maze!A:A,QUOTIENT(ROW()+1,3) + 1),
IF(MOD(ROW(),3)=0,         INDEX(Maze!B:B,QUOTIENT(ROW()+1,3) + 1),       0))</f>
        <v>0</v>
      </c>
      <c r="Z78" s="124" cm="1">
        <f t="array" ref="Z78">INDEX(Map!$B$2:$V$22,-Paths!AA78+11,Paths!AB78+11)</f>
        <v>0</v>
      </c>
      <c r="AA78" s="125">
        <f t="shared" si="3"/>
        <v>-7</v>
      </c>
      <c r="AB78" s="125">
        <f t="shared" si="4"/>
        <v>4</v>
      </c>
      <c r="AC78" s="51" t="str">
        <f t="shared" si="5"/>
        <v>4, -7</v>
      </c>
    </row>
    <row r="79" spans="1:29" x14ac:dyDescent="0.3">
      <c r="A79" s="31"/>
      <c r="B79" s="32"/>
      <c r="C79" s="66"/>
      <c r="Z79" s="124" cm="1">
        <f t="array" ref="Z79">INDEX(Map!$B$2:$V$22,-Paths!AA79+11,Paths!AB79+11)</f>
        <v>0</v>
      </c>
      <c r="AA79" s="125">
        <f t="shared" si="3"/>
        <v>-7</v>
      </c>
      <c r="AB79" s="125">
        <f t="shared" si="4"/>
        <v>5</v>
      </c>
      <c r="AC79" s="51" t="str">
        <f t="shared" si="5"/>
        <v>5, -7</v>
      </c>
    </row>
    <row r="80" spans="1:29" x14ac:dyDescent="0.3">
      <c r="A80" s="20" cm="1">
        <f t="array" ref="A80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-10</v>
      </c>
      <c r="B80" s="20" cm="1">
        <f t="array" ref="B80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-10</v>
      </c>
      <c r="C80" s="18" t="str" cm="1">
        <f t="array" ref="C80">IF(MOD(ROW(),3)=2,      INDEX(Maze!A:A,QUOTIENT(ROW()+1,3) + 1),
IF(MOD(ROW(),3)=0,         INDEX(Maze!B:B,QUOTIENT(ROW()+1,3) + 1),       0))</f>
        <v>Blank_1</v>
      </c>
      <c r="Z80" s="124" cm="1">
        <f t="array" ref="Z80">INDEX(Map!$B$2:$V$22,-Paths!AA80+11,Paths!AB80+11)</f>
        <v>0</v>
      </c>
      <c r="AA80" s="125">
        <f t="shared" si="3"/>
        <v>-7</v>
      </c>
      <c r="AB80" s="125">
        <f t="shared" si="4"/>
        <v>6</v>
      </c>
      <c r="AC80" s="51" t="str">
        <f t="shared" si="5"/>
        <v>6, -7</v>
      </c>
    </row>
    <row r="81" spans="1:29" x14ac:dyDescent="0.3">
      <c r="A81" s="20" cm="1">
        <f t="array" ref="A81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10</v>
      </c>
      <c r="B81" s="20" cm="1">
        <f t="array" ref="B81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-10</v>
      </c>
      <c r="C81" s="20" t="str" cm="1">
        <f t="array" ref="C81">IF(MOD(ROW(),3)=2,      INDEX(Maze!A:A,QUOTIENT(ROW()+1,3) + 1),
IF(MOD(ROW(),3)=0,         INDEX(Maze!B:B,QUOTIENT(ROW()+1,3) + 1),       0))</f>
        <v>Blank_2</v>
      </c>
      <c r="Z81" s="124" cm="1">
        <f t="array" ref="Z81">INDEX(Map!$B$2:$V$22,-Paths!AA81+11,Paths!AB81+11)</f>
        <v>0</v>
      </c>
      <c r="AA81" s="125">
        <f t="shared" si="3"/>
        <v>-7</v>
      </c>
      <c r="AB81" s="125">
        <f t="shared" si="4"/>
        <v>7</v>
      </c>
      <c r="AC81" s="51" t="str">
        <f t="shared" si="5"/>
        <v>7, -7</v>
      </c>
    </row>
    <row r="82" spans="1:29" x14ac:dyDescent="0.3">
      <c r="A82" s="31"/>
      <c r="B82" s="32"/>
      <c r="C82" s="31"/>
      <c r="Z82" s="124" cm="1">
        <f t="array" ref="Z82">INDEX(Map!$B$2:$V$22,-Paths!AA82+11,Paths!AB82+11)</f>
        <v>0</v>
      </c>
      <c r="AA82" s="125">
        <f t="shared" si="3"/>
        <v>-7</v>
      </c>
      <c r="AB82" s="125">
        <f t="shared" si="4"/>
        <v>8</v>
      </c>
      <c r="AC82" s="51" t="str">
        <f t="shared" si="5"/>
        <v>8, -7</v>
      </c>
    </row>
    <row r="83" spans="1:29" x14ac:dyDescent="0.3">
      <c r="A83" s="20" cm="1">
        <f t="array" ref="A83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10</v>
      </c>
      <c r="B83" s="20" cm="1">
        <f t="array" ref="B83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-10</v>
      </c>
      <c r="C83" s="18" t="str" cm="1">
        <f t="array" ref="C83">IF(MOD(ROW(),3)=2,      INDEX(Maze!A:A,QUOTIENT(ROW()+1,3) + 1),
IF(MOD(ROW(),3)=0,         INDEX(Maze!B:B,QUOTIENT(ROW()+1,3) + 1),       0))</f>
        <v>Blank_2</v>
      </c>
      <c r="Z83" s="124" cm="1">
        <f t="array" ref="Z83">INDEX(Map!$B$2:$V$22,-Paths!AA83+11,Paths!AB83+11)</f>
        <v>0</v>
      </c>
      <c r="AA83" s="125">
        <f t="shared" si="3"/>
        <v>-7</v>
      </c>
      <c r="AB83" s="125">
        <f t="shared" si="4"/>
        <v>9</v>
      </c>
      <c r="AC83" s="51" t="str">
        <f t="shared" si="5"/>
        <v>9, -7</v>
      </c>
    </row>
    <row r="84" spans="1:29" x14ac:dyDescent="0.3">
      <c r="A84" s="20" cm="1">
        <f t="array" ref="A84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10</v>
      </c>
      <c r="B84" s="20" cm="1">
        <f t="array" ref="B84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10</v>
      </c>
      <c r="C84" s="20" t="str" cm="1">
        <f t="array" ref="C84">IF(MOD(ROW(),3)=2,      INDEX(Maze!A:A,QUOTIENT(ROW()+1,3) + 1),
IF(MOD(ROW(),3)=0,         INDEX(Maze!B:B,QUOTIENT(ROW()+1,3) + 1),       0))</f>
        <v>Blank_3</v>
      </c>
      <c r="Z84" s="124" cm="1">
        <f t="array" ref="Z84">INDEX(Map!$B$2:$V$22,-Paths!AA84+11,Paths!AB84+11)</f>
        <v>0</v>
      </c>
      <c r="AA84" s="125">
        <f t="shared" si="3"/>
        <v>-7</v>
      </c>
      <c r="AB84" s="125">
        <f t="shared" si="4"/>
        <v>10</v>
      </c>
      <c r="AC84" s="51" t="str">
        <f t="shared" si="5"/>
        <v>10, -7</v>
      </c>
    </row>
    <row r="85" spans="1:29" x14ac:dyDescent="0.3">
      <c r="A85" s="31"/>
      <c r="B85" s="31"/>
      <c r="C85" s="31"/>
      <c r="Z85" s="124" cm="1">
        <f t="array" ref="Z85">INDEX(Map!$B$2:$V$22,-Paths!AA85+11,Paths!AB85+11)</f>
        <v>0</v>
      </c>
      <c r="AA85" s="125">
        <f t="shared" si="3"/>
        <v>-6</v>
      </c>
      <c r="AB85" s="125">
        <f t="shared" si="4"/>
        <v>-10</v>
      </c>
      <c r="AC85" s="51" t="str">
        <f t="shared" si="5"/>
        <v>-10, -6</v>
      </c>
    </row>
    <row r="86" spans="1:29" x14ac:dyDescent="0.3">
      <c r="A86" s="20" cm="1">
        <f t="array" ref="A86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10</v>
      </c>
      <c r="B86" s="20" cm="1">
        <f t="array" ref="B86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10</v>
      </c>
      <c r="C86" s="18" t="str" cm="1">
        <f t="array" ref="C86">IF(MOD(ROW(),3)=2,      INDEX(Maze!A:A,QUOTIENT(ROW()+1,3) + 1),
IF(MOD(ROW(),3)=0,         INDEX(Maze!B:B,QUOTIENT(ROW()+1,3) + 1),       0))</f>
        <v>Blank_3</v>
      </c>
      <c r="Z86" s="124" cm="1">
        <f t="array" ref="Z86">INDEX(Map!$B$2:$V$22,-Paths!AA86+11,Paths!AB86+11)</f>
        <v>0</v>
      </c>
      <c r="AA86" s="125">
        <f t="shared" si="3"/>
        <v>-6</v>
      </c>
      <c r="AB86" s="125">
        <f t="shared" si="4"/>
        <v>-9</v>
      </c>
      <c r="AC86" s="51" t="str">
        <f t="shared" si="5"/>
        <v>-9, -6</v>
      </c>
    </row>
    <row r="87" spans="1:29" x14ac:dyDescent="0.3">
      <c r="A87" s="20" cm="1">
        <f t="array" ref="A87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-10</v>
      </c>
      <c r="B87" s="20" cm="1">
        <f t="array" ref="B87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10</v>
      </c>
      <c r="C87" s="20" t="str" cm="1">
        <f t="array" ref="C87">IF(MOD(ROW(),3)=2,      INDEX(Maze!A:A,QUOTIENT(ROW()+1,3) + 1),
IF(MOD(ROW(),3)=0,         INDEX(Maze!B:B,QUOTIENT(ROW()+1,3) + 1),       0))</f>
        <v>Blank_4</v>
      </c>
      <c r="Z87" s="124" cm="1">
        <f t="array" ref="Z87">INDEX(Map!$B$2:$V$22,-Paths!AA87+11,Paths!AB87+11)</f>
        <v>0</v>
      </c>
      <c r="AA87" s="125">
        <f t="shared" si="3"/>
        <v>-6</v>
      </c>
      <c r="AB87" s="125">
        <f t="shared" si="4"/>
        <v>-8</v>
      </c>
      <c r="AC87" s="51" t="str">
        <f t="shared" si="5"/>
        <v>-8, -6</v>
      </c>
    </row>
    <row r="88" spans="1:29" x14ac:dyDescent="0.3">
      <c r="A88" s="31"/>
      <c r="B88" s="31"/>
      <c r="C88" s="31"/>
      <c r="Z88" s="124" cm="1">
        <f t="array" ref="Z88">INDEX(Map!$B$2:$V$22,-Paths!AA88+11,Paths!AB88+11)</f>
        <v>0</v>
      </c>
      <c r="AA88" s="125">
        <f t="shared" si="3"/>
        <v>-6</v>
      </c>
      <c r="AB88" s="125">
        <f t="shared" si="4"/>
        <v>-7</v>
      </c>
      <c r="AC88" s="51" t="str">
        <f t="shared" si="5"/>
        <v>-7, -6</v>
      </c>
    </row>
    <row r="89" spans="1:29" x14ac:dyDescent="0.3">
      <c r="A89" s="20" cm="1">
        <f t="array" ref="A89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-10</v>
      </c>
      <c r="B89" s="20" cm="1">
        <f t="array" ref="B89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10</v>
      </c>
      <c r="C89" s="18" t="str" cm="1">
        <f t="array" ref="C89">IF(MOD(ROW(),3)=2,      INDEX(Maze!A:A,QUOTIENT(ROW()+1,3) + 1),
IF(MOD(ROW(),3)=0,         INDEX(Maze!B:B,QUOTIENT(ROW()+1,3) + 1),       0))</f>
        <v>Blank_4</v>
      </c>
      <c r="Z89" s="124" cm="1">
        <f t="array" ref="Z89">INDEX(Map!$B$2:$V$22,-Paths!AA89+11,Paths!AB89+11)</f>
        <v>0</v>
      </c>
      <c r="AA89" s="125">
        <f t="shared" si="3"/>
        <v>-6</v>
      </c>
      <c r="AB89" s="125">
        <f t="shared" si="4"/>
        <v>-6</v>
      </c>
      <c r="AC89" s="51" t="str">
        <f t="shared" si="5"/>
        <v>-6, -6</v>
      </c>
    </row>
    <row r="90" spans="1:29" x14ac:dyDescent="0.3">
      <c r="A90" s="20" cm="1">
        <f t="array" ref="A90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-10</v>
      </c>
      <c r="B90" s="20" cm="1">
        <f t="array" ref="B90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-10</v>
      </c>
      <c r="C90" s="20" t="str" cm="1">
        <f t="array" ref="C90">IF(MOD(ROW(),3)=2,      INDEX(Maze!A:A,QUOTIENT(ROW()+1,3) + 1),
IF(MOD(ROW(),3)=0,         INDEX(Maze!B:B,QUOTIENT(ROW()+1,3) + 1),       0))</f>
        <v>Blank_1</v>
      </c>
      <c r="Z90" s="124" cm="1">
        <f t="array" ref="Z90">INDEX(Map!$B$2:$V$22,-Paths!AA90+11,Paths!AB90+11)</f>
        <v>0</v>
      </c>
      <c r="AA90" s="125">
        <f t="shared" si="3"/>
        <v>-6</v>
      </c>
      <c r="AB90" s="125">
        <f t="shared" si="4"/>
        <v>-5</v>
      </c>
      <c r="AC90" s="51" t="str">
        <f t="shared" si="5"/>
        <v>-5, -6</v>
      </c>
    </row>
    <row r="91" spans="1:29" x14ac:dyDescent="0.3">
      <c r="A91" s="31"/>
      <c r="B91" s="31"/>
      <c r="C91" s="31"/>
      <c r="Z91" s="124" cm="1">
        <f t="array" ref="Z91">INDEX(Map!$B$2:$V$22,-Paths!AA91+11,Paths!AB91+11)</f>
        <v>0</v>
      </c>
      <c r="AA91" s="125">
        <f t="shared" si="3"/>
        <v>-6</v>
      </c>
      <c r="AB91" s="125">
        <f t="shared" si="4"/>
        <v>-4</v>
      </c>
      <c r="AC91" s="51" t="str">
        <f t="shared" si="5"/>
        <v>-4, -6</v>
      </c>
    </row>
    <row r="92" spans="1:29" x14ac:dyDescent="0.3">
      <c r="A92" s="20" cm="1">
        <f t="array" ref="A92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92" s="20" cm="1">
        <f t="array" ref="B92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92" s="18" cm="1">
        <f t="array" ref="C92">IF(MOD(ROW(),3)=2,      INDEX(Maze!A:A,QUOTIENT(ROW()+1,3) + 1),
IF(MOD(ROW(),3)=0,         INDEX(Maze!B:B,QUOTIENT(ROW()+1,3) + 1),       0))</f>
        <v>0</v>
      </c>
      <c r="Z92" s="124" cm="1">
        <f t="array" ref="Z92">INDEX(Map!$B$2:$V$22,-Paths!AA92+11,Paths!AB92+11)</f>
        <v>0</v>
      </c>
      <c r="AA92" s="125">
        <f t="shared" si="3"/>
        <v>-6</v>
      </c>
      <c r="AB92" s="125">
        <f t="shared" si="4"/>
        <v>-3</v>
      </c>
      <c r="AC92" s="51" t="str">
        <f t="shared" si="5"/>
        <v>-3, -6</v>
      </c>
    </row>
    <row r="93" spans="1:29" x14ac:dyDescent="0.3">
      <c r="A93" s="20" cm="1">
        <f t="array" ref="A93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93" s="20" cm="1">
        <f t="array" ref="B93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93" s="20" cm="1">
        <f t="array" ref="C93">IF(MOD(ROW(),3)=2,      INDEX(Maze!A:A,QUOTIENT(ROW()+1,3) + 1),
IF(MOD(ROW(),3)=0,         INDEX(Maze!B:B,QUOTIENT(ROW()+1,3) + 1),       0))</f>
        <v>0</v>
      </c>
      <c r="Z93" s="124" cm="1">
        <f t="array" ref="Z93">INDEX(Map!$B$2:$V$22,-Paths!AA93+11,Paths!AB93+11)</f>
        <v>0</v>
      </c>
      <c r="AA93" s="125">
        <f t="shared" si="3"/>
        <v>-6</v>
      </c>
      <c r="AB93" s="125">
        <f t="shared" si="4"/>
        <v>-2</v>
      </c>
      <c r="AC93" s="51" t="str">
        <f t="shared" si="5"/>
        <v>-2, -6</v>
      </c>
    </row>
    <row r="94" spans="1:29" x14ac:dyDescent="0.3">
      <c r="A94" s="31"/>
      <c r="B94" s="31"/>
      <c r="C94" s="31"/>
      <c r="Z94" s="124" cm="1">
        <f t="array" ref="Z94">INDEX(Map!$B$2:$V$22,-Paths!AA94+11,Paths!AB94+11)</f>
        <v>0</v>
      </c>
      <c r="AA94" s="125">
        <f t="shared" si="3"/>
        <v>-6</v>
      </c>
      <c r="AB94" s="125">
        <f t="shared" si="4"/>
        <v>-1</v>
      </c>
      <c r="AC94" s="51" t="str">
        <f t="shared" si="5"/>
        <v>-1, -6</v>
      </c>
    </row>
    <row r="95" spans="1:29" x14ac:dyDescent="0.3">
      <c r="A95" s="20" cm="1">
        <f t="array" ref="A95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-10</v>
      </c>
      <c r="B95" s="20" cm="1">
        <f t="array" ref="B95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-10</v>
      </c>
      <c r="C95" s="18" t="str" cm="1">
        <f t="array" ref="C95">IF(MOD(ROW(),3)=2,      INDEX(Maze!A:A,QUOTIENT(ROW()+1,3) + 1),
IF(MOD(ROW(),3)=0,         INDEX(Maze!B:B,QUOTIENT(ROW()+1,3) + 1),       0))</f>
        <v>Blank_1</v>
      </c>
      <c r="Z95" s="124" cm="1">
        <f t="array" ref="Z95">INDEX(Map!$B$2:$V$22,-Paths!AA95+11,Paths!AB95+11)</f>
        <v>0</v>
      </c>
      <c r="AA95" s="125">
        <f t="shared" si="3"/>
        <v>-6</v>
      </c>
      <c r="AB95" s="125">
        <f t="shared" si="4"/>
        <v>0</v>
      </c>
      <c r="AC95" s="51" t="str">
        <f t="shared" si="5"/>
        <v>0, -6</v>
      </c>
    </row>
    <row r="96" spans="1:29" x14ac:dyDescent="0.3">
      <c r="A96" s="20" cm="1">
        <f t="array" ref="A96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-10</v>
      </c>
      <c r="B96" s="20" cm="1">
        <f t="array" ref="B96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-10</v>
      </c>
      <c r="C96" s="20" t="str" cm="1">
        <f t="array" ref="C96">IF(MOD(ROW(),3)=2,      INDEX(Maze!A:A,QUOTIENT(ROW()+1,3) + 1),
IF(MOD(ROW(),3)=0,         INDEX(Maze!B:B,QUOTIENT(ROW()+1,3) + 1),       0))</f>
        <v>Blank_1</v>
      </c>
      <c r="Z96" s="124" cm="1">
        <f t="array" ref="Z96">INDEX(Map!$B$2:$V$22,-Paths!AA96+11,Paths!AB96+11)</f>
        <v>0</v>
      </c>
      <c r="AA96" s="125">
        <f t="shared" si="3"/>
        <v>-6</v>
      </c>
      <c r="AB96" s="125">
        <f t="shared" si="4"/>
        <v>1</v>
      </c>
      <c r="AC96" s="51" t="str">
        <f t="shared" si="5"/>
        <v>1, -6</v>
      </c>
    </row>
    <row r="97" spans="1:29" x14ac:dyDescent="0.3">
      <c r="A97" s="31"/>
      <c r="B97" s="31"/>
      <c r="C97" s="31"/>
      <c r="Z97" s="124" t="str" cm="1">
        <f t="array" ref="Z97">INDEX(Map!$B$2:$V$22,-Paths!AA97+11,Paths!AB97+11)</f>
        <v>Application6</v>
      </c>
      <c r="AA97" s="125">
        <f t="shared" si="3"/>
        <v>-6</v>
      </c>
      <c r="AB97" s="125">
        <f t="shared" si="4"/>
        <v>2</v>
      </c>
      <c r="AC97" s="51" t="str">
        <f t="shared" si="5"/>
        <v>2, -6</v>
      </c>
    </row>
    <row r="98" spans="1:29" x14ac:dyDescent="0.3">
      <c r="A98" s="20" cm="1">
        <f t="array" ref="A98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-10</v>
      </c>
      <c r="B98" s="20" cm="1">
        <f t="array" ref="B98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-10</v>
      </c>
      <c r="C98" s="18" t="str" cm="1">
        <f t="array" ref="C98">IF(MOD(ROW(),3)=2,      INDEX(Maze!A:A,QUOTIENT(ROW()+1,3) + 1),
IF(MOD(ROW(),3)=0,         INDEX(Maze!B:B,QUOTIENT(ROW()+1,3) + 1),       0))</f>
        <v>Blank_1</v>
      </c>
      <c r="Z98" s="124" cm="1">
        <f t="array" ref="Z98">INDEX(Map!$B$2:$V$22,-Paths!AA98+11,Paths!AB98+11)</f>
        <v>0</v>
      </c>
      <c r="AA98" s="125">
        <f t="shared" si="3"/>
        <v>-6</v>
      </c>
      <c r="AB98" s="125">
        <f t="shared" si="4"/>
        <v>3</v>
      </c>
      <c r="AC98" s="51" t="str">
        <f t="shared" si="5"/>
        <v>3, -6</v>
      </c>
    </row>
    <row r="99" spans="1:29" x14ac:dyDescent="0.3">
      <c r="A99" s="20" cm="1">
        <f t="array" ref="A99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-10</v>
      </c>
      <c r="B99" s="20" cm="1">
        <f t="array" ref="B99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-10</v>
      </c>
      <c r="C99" s="20" t="str" cm="1">
        <f t="array" ref="C99">IF(MOD(ROW(),3)=2,      INDEX(Maze!A:A,QUOTIENT(ROW()+1,3) + 1),
IF(MOD(ROW(),3)=0,         INDEX(Maze!B:B,QUOTIENT(ROW()+1,3) + 1),       0))</f>
        <v>Blank_1</v>
      </c>
      <c r="Z99" s="124" cm="1">
        <f t="array" ref="Z99">INDEX(Map!$B$2:$V$22,-Paths!AA99+11,Paths!AB99+11)</f>
        <v>0</v>
      </c>
      <c r="AA99" s="125">
        <f t="shared" si="3"/>
        <v>-6</v>
      </c>
      <c r="AB99" s="125">
        <f t="shared" si="4"/>
        <v>4</v>
      </c>
      <c r="AC99" s="51" t="str">
        <f t="shared" si="5"/>
        <v>4, -6</v>
      </c>
    </row>
    <row r="100" spans="1:29" x14ac:dyDescent="0.3">
      <c r="A100" s="31"/>
      <c r="B100" s="31"/>
      <c r="C100" s="31"/>
      <c r="Z100" s="124" cm="1">
        <f t="array" ref="Z100">INDEX(Map!$B$2:$V$22,-Paths!AA100+11,Paths!AB100+11)</f>
        <v>0</v>
      </c>
      <c r="AA100" s="125">
        <f t="shared" si="3"/>
        <v>-6</v>
      </c>
      <c r="AB100" s="125">
        <f t="shared" si="4"/>
        <v>5</v>
      </c>
      <c r="AC100" s="51" t="str">
        <f t="shared" si="5"/>
        <v>5, -6</v>
      </c>
    </row>
    <row r="101" spans="1:29" x14ac:dyDescent="0.3">
      <c r="A101" s="20" cm="1">
        <f t="array" ref="A101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-10</v>
      </c>
      <c r="B101" s="20" cm="1">
        <f t="array" ref="B101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-10</v>
      </c>
      <c r="C101" s="18" t="str" cm="1">
        <f t="array" ref="C101">IF(MOD(ROW(),3)=2,      INDEX(Maze!A:A,QUOTIENT(ROW()+1,3) + 1),
IF(MOD(ROW(),3)=0,         INDEX(Maze!B:B,QUOTIENT(ROW()+1,3) + 1),       0))</f>
        <v>Blank_1</v>
      </c>
      <c r="Z101" s="124" cm="1">
        <f t="array" ref="Z101">INDEX(Map!$B$2:$V$22,-Paths!AA101+11,Paths!AB101+11)</f>
        <v>0</v>
      </c>
      <c r="AA101" s="125">
        <f t="shared" si="3"/>
        <v>-6</v>
      </c>
      <c r="AB101" s="125">
        <f t="shared" si="4"/>
        <v>6</v>
      </c>
      <c r="AC101" s="51" t="str">
        <f t="shared" si="5"/>
        <v>6, -6</v>
      </c>
    </row>
    <row r="102" spans="1:29" x14ac:dyDescent="0.3">
      <c r="A102" s="20" cm="1">
        <f t="array" ref="A102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-10</v>
      </c>
      <c r="B102" s="20" cm="1">
        <f t="array" ref="B102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-10</v>
      </c>
      <c r="C102" s="20" t="str" cm="1">
        <f t="array" ref="C102">IF(MOD(ROW(),3)=2,      INDEX(Maze!A:A,QUOTIENT(ROW()+1,3) + 1),
IF(MOD(ROW(),3)=0,         INDEX(Maze!B:B,QUOTIENT(ROW()+1,3) + 1),       0))</f>
        <v>Blank_1</v>
      </c>
      <c r="Z102" s="124" cm="1">
        <f t="array" ref="Z102">INDEX(Map!$B$2:$V$22,-Paths!AA102+11,Paths!AB102+11)</f>
        <v>0</v>
      </c>
      <c r="AA102" s="125">
        <f t="shared" si="3"/>
        <v>-6</v>
      </c>
      <c r="AB102" s="125">
        <f t="shared" si="4"/>
        <v>7</v>
      </c>
      <c r="AC102" s="51" t="str">
        <f t="shared" si="5"/>
        <v>7, -6</v>
      </c>
    </row>
    <row r="103" spans="1:29" x14ac:dyDescent="0.3">
      <c r="A103" s="31"/>
      <c r="B103" s="31"/>
      <c r="C103" s="31"/>
      <c r="Z103" s="124" cm="1">
        <f t="array" ref="Z103">INDEX(Map!$B$2:$V$22,-Paths!AA103+11,Paths!AB103+11)</f>
        <v>0</v>
      </c>
      <c r="AA103" s="125">
        <f t="shared" si="3"/>
        <v>-6</v>
      </c>
      <c r="AB103" s="125">
        <f t="shared" si="4"/>
        <v>8</v>
      </c>
      <c r="AC103" s="51" t="str">
        <f t="shared" si="5"/>
        <v>8, -6</v>
      </c>
    </row>
    <row r="104" spans="1:29" x14ac:dyDescent="0.3">
      <c r="A104" s="20" cm="1">
        <f t="array" ref="A104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-10</v>
      </c>
      <c r="B104" s="20" cm="1">
        <f t="array" ref="B104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-10</v>
      </c>
      <c r="C104" s="18" t="str" cm="1">
        <f t="array" ref="C104">IF(MOD(ROW(),3)=2,      INDEX(Maze!A:A,QUOTIENT(ROW()+1,3) + 1),
IF(MOD(ROW(),3)=0,         INDEX(Maze!B:B,QUOTIENT(ROW()+1,3) + 1),       0))</f>
        <v>Blank_1</v>
      </c>
      <c r="Z104" s="124" cm="1">
        <f t="array" ref="Z104">INDEX(Map!$B$2:$V$22,-Paths!AA104+11,Paths!AB104+11)</f>
        <v>0</v>
      </c>
      <c r="AA104" s="125">
        <f t="shared" si="3"/>
        <v>-6</v>
      </c>
      <c r="AB104" s="125">
        <f t="shared" si="4"/>
        <v>9</v>
      </c>
      <c r="AC104" s="51" t="str">
        <f t="shared" si="5"/>
        <v>9, -6</v>
      </c>
    </row>
    <row r="105" spans="1:29" x14ac:dyDescent="0.3">
      <c r="A105" s="20" cm="1">
        <f t="array" ref="A105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-10</v>
      </c>
      <c r="B105" s="20" cm="1">
        <f t="array" ref="B105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-10</v>
      </c>
      <c r="C105" s="20" t="str" cm="1">
        <f t="array" ref="C105">IF(MOD(ROW(),3)=2,      INDEX(Maze!A:A,QUOTIENT(ROW()+1,3) + 1),
IF(MOD(ROW(),3)=0,         INDEX(Maze!B:B,QUOTIENT(ROW()+1,3) + 1),       0))</f>
        <v>Blank_1</v>
      </c>
      <c r="Z105" s="124" cm="1">
        <f t="array" ref="Z105">INDEX(Map!$B$2:$V$22,-Paths!AA105+11,Paths!AB105+11)</f>
        <v>0</v>
      </c>
      <c r="AA105" s="125">
        <f t="shared" si="3"/>
        <v>-6</v>
      </c>
      <c r="AB105" s="125">
        <f t="shared" si="4"/>
        <v>10</v>
      </c>
      <c r="AC105" s="51" t="str">
        <f t="shared" si="5"/>
        <v>10, -6</v>
      </c>
    </row>
    <row r="106" spans="1:29" x14ac:dyDescent="0.3">
      <c r="A106" s="31"/>
      <c r="B106" s="31"/>
      <c r="C106" s="31"/>
      <c r="Z106" s="124" cm="1">
        <f t="array" ref="Z106">INDEX(Map!$B$2:$V$22,-Paths!AA106+11,Paths!AB106+11)</f>
        <v>0</v>
      </c>
      <c r="AA106" s="125">
        <f t="shared" si="3"/>
        <v>-5</v>
      </c>
      <c r="AB106" s="125">
        <f t="shared" si="4"/>
        <v>-10</v>
      </c>
      <c r="AC106" s="51" t="str">
        <f t="shared" si="5"/>
        <v>-10, -5</v>
      </c>
    </row>
    <row r="107" spans="1:29" x14ac:dyDescent="0.3">
      <c r="A107" s="20" cm="1">
        <f t="array" ref="A107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107" s="20" cm="1">
        <f t="array" ref="B107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107" s="18" cm="1">
        <f t="array" ref="C107">IF(MOD(ROW(),3)=2,      INDEX(Maze!A:A,QUOTIENT(ROW()+1,3) + 1),
IF(MOD(ROW(),3)=0,         INDEX(Maze!B:B,QUOTIENT(ROW()+1,3) + 1),       0))</f>
        <v>0</v>
      </c>
      <c r="Z107" s="124" cm="1">
        <f t="array" ref="Z107">INDEX(Map!$B$2:$V$22,-Paths!AA107+11,Paths!AB107+11)</f>
        <v>0</v>
      </c>
      <c r="AA107" s="125">
        <f t="shared" si="3"/>
        <v>-5</v>
      </c>
      <c r="AB107" s="125">
        <f t="shared" si="4"/>
        <v>-9</v>
      </c>
      <c r="AC107" s="51" t="str">
        <f t="shared" si="5"/>
        <v>-9, -5</v>
      </c>
    </row>
    <row r="108" spans="1:29" x14ac:dyDescent="0.3">
      <c r="A108" s="20" cm="1">
        <f t="array" ref="A108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108" s="20" cm="1">
        <f t="array" ref="B108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108" s="20" cm="1">
        <f t="array" ref="C108">IF(MOD(ROW(),3)=2,      INDEX(Maze!A:A,QUOTIENT(ROW()+1,3) + 1),
IF(MOD(ROW(),3)=0,         INDEX(Maze!B:B,QUOTIENT(ROW()+1,3) + 1),       0))</f>
        <v>0</v>
      </c>
      <c r="Z108" s="124" cm="1">
        <f t="array" ref="Z108">INDEX(Map!$B$2:$V$22,-Paths!AA108+11,Paths!AB108+11)</f>
        <v>0</v>
      </c>
      <c r="AA108" s="125">
        <f t="shared" si="3"/>
        <v>-5</v>
      </c>
      <c r="AB108" s="125">
        <f t="shared" si="4"/>
        <v>-8</v>
      </c>
      <c r="AC108" s="51" t="str">
        <f t="shared" si="5"/>
        <v>-8, -5</v>
      </c>
    </row>
    <row r="109" spans="1:29" x14ac:dyDescent="0.3">
      <c r="A109" s="31"/>
      <c r="B109" s="31"/>
      <c r="C109" s="31"/>
      <c r="Z109" s="124" cm="1">
        <f t="array" ref="Z109">INDEX(Map!$B$2:$V$22,-Paths!AA109+11,Paths!AB109+11)</f>
        <v>0</v>
      </c>
      <c r="AA109" s="125">
        <f t="shared" si="3"/>
        <v>-5</v>
      </c>
      <c r="AB109" s="125">
        <f t="shared" si="4"/>
        <v>-7</v>
      </c>
      <c r="AC109" s="51" t="str">
        <f t="shared" si="5"/>
        <v>-7, -5</v>
      </c>
    </row>
    <row r="110" spans="1:29" x14ac:dyDescent="0.3">
      <c r="A110" s="20" cm="1">
        <f t="array" ref="A110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110" s="20" cm="1">
        <f t="array" ref="B110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110" s="18" cm="1">
        <f t="array" ref="C110">IF(MOD(ROW(),3)=2,      INDEX(Maze!A:A,QUOTIENT(ROW()+1,3) + 1),
IF(MOD(ROW(),3)=0,         INDEX(Maze!B:B,QUOTIENT(ROW()+1,3) + 1),       0))</f>
        <v>0</v>
      </c>
      <c r="Z110" s="124" cm="1">
        <f t="array" ref="Z110">INDEX(Map!$B$2:$V$22,-Paths!AA110+11,Paths!AB110+11)</f>
        <v>0</v>
      </c>
      <c r="AA110" s="125">
        <f t="shared" si="3"/>
        <v>-5</v>
      </c>
      <c r="AB110" s="125">
        <f t="shared" si="4"/>
        <v>-6</v>
      </c>
      <c r="AC110" s="51" t="str">
        <f t="shared" si="5"/>
        <v>-6, -5</v>
      </c>
    </row>
    <row r="111" spans="1:29" x14ac:dyDescent="0.3">
      <c r="A111" s="20" cm="1">
        <f t="array" ref="A111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111" s="20" cm="1">
        <f t="array" ref="B111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111" s="20" cm="1">
        <f t="array" ref="C111">IF(MOD(ROW(),3)=2,      INDEX(Maze!A:A,QUOTIENT(ROW()+1,3) + 1),
IF(MOD(ROW(),3)=0,         INDEX(Maze!B:B,QUOTIENT(ROW()+1,3) + 1),       0))</f>
        <v>0</v>
      </c>
      <c r="E111" s="13"/>
      <c r="Z111" s="124" cm="1">
        <f t="array" ref="Z111">INDEX(Map!$B$2:$V$22,-Paths!AA111+11,Paths!AB111+11)</f>
        <v>0</v>
      </c>
      <c r="AA111" s="125">
        <f t="shared" si="3"/>
        <v>-5</v>
      </c>
      <c r="AB111" s="125">
        <f t="shared" si="4"/>
        <v>-5</v>
      </c>
      <c r="AC111" s="51" t="str">
        <f t="shared" si="5"/>
        <v>-5, -5</v>
      </c>
    </row>
    <row r="112" spans="1:29" x14ac:dyDescent="0.3">
      <c r="A112" s="31"/>
      <c r="B112" s="31"/>
      <c r="C112" s="31"/>
      <c r="E112" s="13"/>
      <c r="F112" s="69"/>
      <c r="Z112" s="124" cm="1">
        <f t="array" ref="Z112">INDEX(Map!$B$2:$V$22,-Paths!AA112+11,Paths!AB112+11)</f>
        <v>0</v>
      </c>
      <c r="AA112" s="125">
        <f t="shared" si="3"/>
        <v>-5</v>
      </c>
      <c r="AB112" s="125">
        <f t="shared" si="4"/>
        <v>-4</v>
      </c>
      <c r="AC112" s="51" t="str">
        <f t="shared" si="5"/>
        <v>-4, -5</v>
      </c>
    </row>
    <row r="113" spans="1:29" x14ac:dyDescent="0.3">
      <c r="A113" s="20" cm="1">
        <f t="array" ref="A113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113" s="20" cm="1">
        <f t="array" ref="B113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113" s="18" cm="1">
        <f t="array" ref="C113">IF(MOD(ROW(),3)=2,      INDEX(Maze!A:A,QUOTIENT(ROW()+1,3) + 1),
IF(MOD(ROW(),3)=0,         INDEX(Maze!B:B,QUOTIENT(ROW()+1,3) + 1),       0))</f>
        <v>0</v>
      </c>
      <c r="Z113" s="124" cm="1">
        <f t="array" ref="Z113">INDEX(Map!$B$2:$V$22,-Paths!AA113+11,Paths!AB113+11)</f>
        <v>0</v>
      </c>
      <c r="AA113" s="125">
        <f t="shared" si="3"/>
        <v>-5</v>
      </c>
      <c r="AB113" s="125">
        <f t="shared" si="4"/>
        <v>-3</v>
      </c>
      <c r="AC113" s="51" t="str">
        <f t="shared" si="5"/>
        <v>-3, -5</v>
      </c>
    </row>
    <row r="114" spans="1:29" x14ac:dyDescent="0.3">
      <c r="A114" s="20" cm="1">
        <f t="array" ref="A114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114" s="20" cm="1">
        <f t="array" ref="B114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114" s="20" cm="1">
        <f t="array" ref="C114">IF(MOD(ROW(),3)=2,      INDEX(Maze!A:A,QUOTIENT(ROW()+1,3) + 1),
IF(MOD(ROW(),3)=0,         INDEX(Maze!B:B,QUOTIENT(ROW()+1,3) + 1),       0))</f>
        <v>0</v>
      </c>
      <c r="Z114" s="124" cm="1">
        <f t="array" ref="Z114">INDEX(Map!$B$2:$V$22,-Paths!AA114+11,Paths!AB114+11)</f>
        <v>0</v>
      </c>
      <c r="AA114" s="125">
        <f t="shared" si="3"/>
        <v>-5</v>
      </c>
      <c r="AB114" s="125">
        <f t="shared" si="4"/>
        <v>-2</v>
      </c>
      <c r="AC114" s="51" t="str">
        <f t="shared" si="5"/>
        <v>-2, -5</v>
      </c>
    </row>
    <row r="115" spans="1:29" x14ac:dyDescent="0.3">
      <c r="A115" s="31"/>
      <c r="B115" s="31"/>
      <c r="C115" s="31"/>
      <c r="Z115" s="124" cm="1">
        <f t="array" ref="Z115">INDEX(Map!$B$2:$V$22,-Paths!AA115+11,Paths!AB115+11)</f>
        <v>0</v>
      </c>
      <c r="AA115" s="125">
        <f t="shared" si="3"/>
        <v>-5</v>
      </c>
      <c r="AB115" s="125">
        <f t="shared" si="4"/>
        <v>-1</v>
      </c>
      <c r="AC115" s="51" t="str">
        <f t="shared" si="5"/>
        <v>-1, -5</v>
      </c>
    </row>
    <row r="116" spans="1:29" x14ac:dyDescent="0.3">
      <c r="A116" s="20" cm="1">
        <f t="array" ref="A116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116" s="20" cm="1">
        <f t="array" ref="B116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116" s="18" cm="1">
        <f t="array" ref="C116">IF(MOD(ROW(),3)=2,      INDEX(Maze!A:A,QUOTIENT(ROW()+1,3) + 1),
IF(MOD(ROW(),3)=0,         INDEX(Maze!B:B,QUOTIENT(ROW()+1,3) + 1),       0))</f>
        <v>0</v>
      </c>
      <c r="Z116" s="124" cm="1">
        <f t="array" ref="Z116">INDEX(Map!$B$2:$V$22,-Paths!AA116+11,Paths!AB116+11)</f>
        <v>0</v>
      </c>
      <c r="AA116" s="125">
        <f t="shared" si="3"/>
        <v>-5</v>
      </c>
      <c r="AB116" s="125">
        <f t="shared" si="4"/>
        <v>0</v>
      </c>
      <c r="AC116" s="51" t="str">
        <f t="shared" si="5"/>
        <v>0, -5</v>
      </c>
    </row>
    <row r="117" spans="1:29" x14ac:dyDescent="0.3">
      <c r="A117" s="20" cm="1">
        <f t="array" ref="A117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117" s="20" cm="1">
        <f t="array" ref="B117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117" s="20" cm="1">
        <f t="array" ref="C117">IF(MOD(ROW(),3)=2,      INDEX(Maze!A:A,QUOTIENT(ROW()+1,3) + 1),
IF(MOD(ROW(),3)=0,         INDEX(Maze!B:B,QUOTIENT(ROW()+1,3) + 1),       0))</f>
        <v>0</v>
      </c>
      <c r="Z117" s="124" cm="1">
        <f t="array" ref="Z117">INDEX(Map!$B$2:$V$22,-Paths!AA117+11,Paths!AB117+11)</f>
        <v>0</v>
      </c>
      <c r="AA117" s="125">
        <f t="shared" si="3"/>
        <v>-5</v>
      </c>
      <c r="AB117" s="125">
        <f t="shared" si="4"/>
        <v>1</v>
      </c>
      <c r="AC117" s="51" t="str">
        <f t="shared" si="5"/>
        <v>1, -5</v>
      </c>
    </row>
    <row r="118" spans="1:29" x14ac:dyDescent="0.3">
      <c r="A118" s="31"/>
      <c r="B118" s="31"/>
      <c r="C118" s="31"/>
      <c r="Z118" s="124" t="str" cm="1">
        <f t="array" ref="Z118">INDEX(Map!$B$2:$V$22,-Paths!AA118+11,Paths!AB118+11)</f>
        <v>Application5</v>
      </c>
      <c r="AA118" s="125">
        <f t="shared" si="3"/>
        <v>-5</v>
      </c>
      <c r="AB118" s="125">
        <f t="shared" si="4"/>
        <v>2</v>
      </c>
      <c r="AC118" s="51" t="str">
        <f t="shared" si="5"/>
        <v>2, -5</v>
      </c>
    </row>
    <row r="119" spans="1:29" x14ac:dyDescent="0.3">
      <c r="A119" s="20" cm="1">
        <f t="array" ref="A119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119" s="20" cm="1">
        <f t="array" ref="B119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119" s="18" cm="1">
        <f t="array" ref="C119">IF(MOD(ROW(),3)=2,      INDEX(Maze!A:A,QUOTIENT(ROW()+1,3) + 1),
IF(MOD(ROW(),3)=0,         INDEX(Maze!B:B,QUOTIENT(ROW()+1,3) + 1),       0))</f>
        <v>0</v>
      </c>
      <c r="Z119" s="124" cm="1">
        <f t="array" ref="Z119">INDEX(Map!$B$2:$V$22,-Paths!AA119+11,Paths!AB119+11)</f>
        <v>0</v>
      </c>
      <c r="AA119" s="125">
        <f t="shared" si="3"/>
        <v>-5</v>
      </c>
      <c r="AB119" s="125">
        <f t="shared" si="4"/>
        <v>3</v>
      </c>
      <c r="AC119" s="51" t="str">
        <f t="shared" si="5"/>
        <v>3, -5</v>
      </c>
    </row>
    <row r="120" spans="1:29" x14ac:dyDescent="0.3">
      <c r="A120" s="20" cm="1">
        <f t="array" ref="A120">IF(MOD(ROW(),3)=2,IF(INDEX(Maze!I:I,QUOTIENT(ROW()+1,3)+1)="",IF(INDEX(Maze!C:C,QUOTIENT(ROW()+1,3)+1)="",0,INDEX(Maze!C:C,QUOTIENT(ROW()+1,3)+1)),0),
IF(MOD(ROW(),3)=0,IF(INDEX(Maze!I:I,QUOTIENT(ROW()+1,3)+1)="",IF(INDEX(Maze!F:F,QUOTIENT(ROW()+1,3)+1)="",0,INDEX(Maze!F:F,QUOTIENT(ROW()+1,3)+1)),0)))</f>
        <v>0</v>
      </c>
      <c r="B120" s="20" cm="1">
        <f t="array" ref="B120">IF(MOD(ROW(),3)=2,    IF(INDEX(Maze!I:I,QUOTIENT(ROW()+1,3)+1)="",    IF(INDEX(Maze!D:D,QUOTIENT(ROW()+1,3)+1)="",0,INDEX(Maze!D:D,QUOTIENT(ROW()+1,3)+1)),   0),
IF(MOD(ROW(),3)=0,      IF(INDEX(Maze!I:I,QUOTIENT(ROW()+1,3)+1)="",     IF(INDEX(Maze!G:G,QUOTIENT(ROW()+1,3)+1)="",0,INDEX(Maze!G:G,QUOTIENT(ROW()+1,3)+1)),   0)))</f>
        <v>0</v>
      </c>
      <c r="C120" s="20" cm="1">
        <f t="array" ref="C120">IF(MOD(ROW(),3)=2,      INDEX(Maze!A:A,QUOTIENT(ROW()+1,3) + 1),
IF(MOD(ROW(),3)=0,         INDEX(Maze!B:B,QUOTIENT(ROW()+1,3) + 1),       0))</f>
        <v>0</v>
      </c>
      <c r="Z120" s="124" cm="1">
        <f t="array" ref="Z120">INDEX(Map!$B$2:$V$22,-Paths!AA120+11,Paths!AB120+11)</f>
        <v>0</v>
      </c>
      <c r="AA120" s="125">
        <f t="shared" si="3"/>
        <v>-5</v>
      </c>
      <c r="AB120" s="125">
        <f t="shared" si="4"/>
        <v>4</v>
      </c>
      <c r="AC120" s="51" t="str">
        <f t="shared" si="5"/>
        <v>4, -5</v>
      </c>
    </row>
    <row r="121" spans="1:29" x14ac:dyDescent="0.3">
      <c r="A121" s="31"/>
      <c r="B121" s="31"/>
      <c r="C121" s="32"/>
      <c r="Z121" s="124" cm="1">
        <f t="array" ref="Z121">INDEX(Map!$B$2:$V$22,-Paths!AA121+11,Paths!AB121+11)</f>
        <v>0</v>
      </c>
      <c r="AA121" s="125">
        <f t="shared" si="3"/>
        <v>-5</v>
      </c>
      <c r="AB121" s="125">
        <f t="shared" si="4"/>
        <v>5</v>
      </c>
      <c r="AC121" s="51" t="str">
        <f t="shared" si="5"/>
        <v>5, -5</v>
      </c>
    </row>
    <row r="122" spans="1:29" x14ac:dyDescent="0.3">
      <c r="A122" s="31"/>
      <c r="B122" s="32"/>
      <c r="C122" s="32"/>
      <c r="D122" s="3" t="s">
        <v>94</v>
      </c>
      <c r="Z122" s="124" cm="1">
        <f t="array" ref="Z122">INDEX(Map!$B$2:$V$22,-Paths!AA122+11,Paths!AB122+11)</f>
        <v>0</v>
      </c>
      <c r="AA122" s="125">
        <f t="shared" si="3"/>
        <v>-5</v>
      </c>
      <c r="AB122" s="125">
        <f t="shared" si="4"/>
        <v>6</v>
      </c>
      <c r="AC122" s="51" t="str">
        <f t="shared" si="5"/>
        <v>6, -5</v>
      </c>
    </row>
    <row r="123" spans="1:29" x14ac:dyDescent="0.3">
      <c r="A123" s="18">
        <v>3</v>
      </c>
      <c r="B123" s="19">
        <v>6</v>
      </c>
      <c r="C123" s="25" t="s">
        <v>44</v>
      </c>
      <c r="D123" s="3" t="s">
        <v>90</v>
      </c>
      <c r="Z123" s="124" cm="1">
        <f t="array" ref="Z123">INDEX(Map!$B$2:$V$22,-Paths!AA123+11,Paths!AB123+11)</f>
        <v>0</v>
      </c>
      <c r="AA123" s="125">
        <f t="shared" si="3"/>
        <v>-5</v>
      </c>
      <c r="AB123" s="125">
        <f t="shared" si="4"/>
        <v>7</v>
      </c>
      <c r="AC123" s="51" t="str">
        <f t="shared" si="5"/>
        <v>7, -5</v>
      </c>
    </row>
    <row r="124" spans="1:29" x14ac:dyDescent="0.3">
      <c r="A124" s="20">
        <v>3</v>
      </c>
      <c r="B124" s="24">
        <v>7</v>
      </c>
      <c r="C124" s="25" t="s">
        <v>19</v>
      </c>
      <c r="D124" s="3" t="s">
        <v>44</v>
      </c>
      <c r="Z124" s="124" cm="1">
        <f t="array" ref="Z124">INDEX(Map!$B$2:$V$22,-Paths!AA124+11,Paths!AB124+11)</f>
        <v>0</v>
      </c>
      <c r="AA124" s="125">
        <f t="shared" si="3"/>
        <v>-5</v>
      </c>
      <c r="AB124" s="125">
        <f t="shared" si="4"/>
        <v>8</v>
      </c>
      <c r="AC124" s="51" t="str">
        <f t="shared" si="5"/>
        <v>8, -5</v>
      </c>
    </row>
    <row r="125" spans="1:29" x14ac:dyDescent="0.3">
      <c r="A125" s="20">
        <v>1</v>
      </c>
      <c r="B125" s="21">
        <v>7</v>
      </c>
      <c r="C125" s="25"/>
      <c r="D125" s="3" t="s">
        <v>19</v>
      </c>
      <c r="Z125" s="124" cm="1">
        <f t="array" ref="Z125">INDEX(Map!$B$2:$V$22,-Paths!AA125+11,Paths!AB125+11)</f>
        <v>0</v>
      </c>
      <c r="AA125" s="125">
        <f t="shared" si="3"/>
        <v>-5</v>
      </c>
      <c r="AB125" s="125">
        <f t="shared" si="4"/>
        <v>9</v>
      </c>
      <c r="AC125" s="51" t="str">
        <f t="shared" si="5"/>
        <v>9, -5</v>
      </c>
    </row>
    <row r="126" spans="1:29" x14ac:dyDescent="0.3">
      <c r="A126" s="20">
        <v>1</v>
      </c>
      <c r="B126" s="20">
        <v>6</v>
      </c>
      <c r="C126" s="21"/>
      <c r="Z126" s="124" cm="1">
        <f t="array" ref="Z126">INDEX(Map!$B$2:$V$22,-Paths!AA126+11,Paths!AB126+11)</f>
        <v>0</v>
      </c>
      <c r="AA126" s="125">
        <f t="shared" si="3"/>
        <v>-5</v>
      </c>
      <c r="AB126" s="125">
        <f t="shared" si="4"/>
        <v>10</v>
      </c>
      <c r="AC126" s="51" t="str">
        <f t="shared" si="5"/>
        <v>10, -5</v>
      </c>
    </row>
    <row r="127" spans="1:29" x14ac:dyDescent="0.3">
      <c r="A127" s="20"/>
      <c r="B127" s="20"/>
      <c r="C127" s="21"/>
      <c r="Z127" s="124" cm="1">
        <f t="array" ref="Z127">INDEX(Map!$B$2:$V$22,-Paths!AA127+11,Paths!AB127+11)</f>
        <v>0</v>
      </c>
      <c r="AA127" s="125">
        <f t="shared" si="3"/>
        <v>-4</v>
      </c>
      <c r="AB127" s="125">
        <f t="shared" si="4"/>
        <v>-10</v>
      </c>
      <c r="AC127" s="51" t="str">
        <f t="shared" si="5"/>
        <v>-10, -4</v>
      </c>
    </row>
    <row r="128" spans="1:29" x14ac:dyDescent="0.3">
      <c r="A128" s="31"/>
      <c r="B128" s="31"/>
      <c r="C128" s="31"/>
      <c r="D128" s="3" t="s">
        <v>95</v>
      </c>
      <c r="Z128" s="124" cm="1">
        <f t="array" ref="Z128">INDEX(Map!$B$2:$V$22,-Paths!AA128+11,Paths!AB128+11)</f>
        <v>0</v>
      </c>
      <c r="AA128" s="125">
        <f t="shared" si="3"/>
        <v>-4</v>
      </c>
      <c r="AB128" s="125">
        <f t="shared" si="4"/>
        <v>-9</v>
      </c>
      <c r="AC128" s="51" t="str">
        <f t="shared" si="5"/>
        <v>-9, -4</v>
      </c>
    </row>
    <row r="129" spans="1:29" x14ac:dyDescent="0.3">
      <c r="A129" s="18">
        <v>3</v>
      </c>
      <c r="B129" s="19">
        <v>6</v>
      </c>
      <c r="C129" s="19"/>
      <c r="D129" s="3" t="s">
        <v>90</v>
      </c>
      <c r="Z129" s="124" cm="1">
        <f t="array" ref="Z129">INDEX(Map!$B$2:$V$22,-Paths!AA129+11,Paths!AB129+11)</f>
        <v>0</v>
      </c>
      <c r="AA129" s="125">
        <f t="shared" ref="AA129:AA192" si="6">QUOTIENT(ROW(AB129)-1,21)-10</f>
        <v>-4</v>
      </c>
      <c r="AB129" s="125">
        <f t="shared" ref="AB129:AB192" si="7">MOD(ROW(AB129)-1,21)-10</f>
        <v>-8</v>
      </c>
      <c r="AC129" s="51" t="str">
        <f t="shared" si="5"/>
        <v>-8, -4</v>
      </c>
    </row>
    <row r="130" spans="1:29" x14ac:dyDescent="0.3">
      <c r="A130" s="20">
        <v>3</v>
      </c>
      <c r="B130" s="24">
        <v>7</v>
      </c>
      <c r="C130" s="25" t="s">
        <v>44</v>
      </c>
      <c r="D130" s="3" t="s">
        <v>44</v>
      </c>
      <c r="Z130" s="124" cm="1">
        <f t="array" ref="Z130">INDEX(Map!$B$2:$V$22,-Paths!AA130+11,Paths!AB130+11)</f>
        <v>0</v>
      </c>
      <c r="AA130" s="125">
        <f t="shared" si="6"/>
        <v>-4</v>
      </c>
      <c r="AB130" s="125">
        <f t="shared" si="7"/>
        <v>-7</v>
      </c>
      <c r="AC130" s="51" t="str">
        <f t="shared" ref="AC130:AC193" si="8">AB130&amp;", "&amp;AA130</f>
        <v>-7, -4</v>
      </c>
    </row>
    <row r="131" spans="1:29" x14ac:dyDescent="0.3">
      <c r="A131" s="20">
        <v>1</v>
      </c>
      <c r="B131" s="21">
        <v>7</v>
      </c>
      <c r="C131" s="25" t="s">
        <v>19</v>
      </c>
      <c r="D131" s="3" t="s">
        <v>19</v>
      </c>
      <c r="Z131" s="124" cm="1">
        <f t="array" ref="Z131">INDEX(Map!$B$2:$V$22,-Paths!AA131+11,Paths!AB131+11)</f>
        <v>0</v>
      </c>
      <c r="AA131" s="125">
        <f t="shared" si="6"/>
        <v>-4</v>
      </c>
      <c r="AB131" s="125">
        <f t="shared" si="7"/>
        <v>-6</v>
      </c>
      <c r="AC131" s="51" t="str">
        <f t="shared" si="8"/>
        <v>-6, -4</v>
      </c>
    </row>
    <row r="132" spans="1:29" x14ac:dyDescent="0.3">
      <c r="A132" s="20">
        <v>1</v>
      </c>
      <c r="B132" s="20">
        <v>6</v>
      </c>
      <c r="C132" s="21"/>
      <c r="Z132" s="124" cm="1">
        <f t="array" ref="Z132">INDEX(Map!$B$2:$V$22,-Paths!AA132+11,Paths!AB132+11)</f>
        <v>0</v>
      </c>
      <c r="AA132" s="125">
        <f t="shared" si="6"/>
        <v>-4</v>
      </c>
      <c r="AB132" s="125">
        <f t="shared" si="7"/>
        <v>-5</v>
      </c>
      <c r="AC132" s="51" t="str">
        <f t="shared" si="8"/>
        <v>-5, -4</v>
      </c>
    </row>
    <row r="133" spans="1:29" x14ac:dyDescent="0.3">
      <c r="A133" s="20"/>
      <c r="B133" s="20"/>
      <c r="C133" s="21"/>
      <c r="Z133" s="124" cm="1">
        <f t="array" ref="Z133">INDEX(Map!$B$2:$V$22,-Paths!AA133+11,Paths!AB133+11)</f>
        <v>0</v>
      </c>
      <c r="AA133" s="125">
        <f t="shared" si="6"/>
        <v>-4</v>
      </c>
      <c r="AB133" s="125">
        <f t="shared" si="7"/>
        <v>-4</v>
      </c>
      <c r="AC133" s="51" t="str">
        <f t="shared" si="8"/>
        <v>-4, -4</v>
      </c>
    </row>
    <row r="134" spans="1:29" x14ac:dyDescent="0.3">
      <c r="A134" s="18"/>
      <c r="B134" s="18"/>
      <c r="C134" s="19"/>
      <c r="Z134" s="124" cm="1">
        <f t="array" ref="Z134">INDEX(Map!$B$2:$V$22,-Paths!AA134+11,Paths!AB134+11)</f>
        <v>0</v>
      </c>
      <c r="AA134" s="125">
        <f t="shared" si="6"/>
        <v>-4</v>
      </c>
      <c r="AB134" s="125">
        <f t="shared" si="7"/>
        <v>-3</v>
      </c>
      <c r="AC134" s="51" t="str">
        <f t="shared" si="8"/>
        <v>-3, -4</v>
      </c>
    </row>
    <row r="135" spans="1:29" x14ac:dyDescent="0.3">
      <c r="A135" s="26"/>
      <c r="B135" s="26"/>
      <c r="C135" s="27"/>
      <c r="Z135" s="124" cm="1">
        <f t="array" ref="Z135">INDEX(Map!$B$2:$V$22,-Paths!AA135+11,Paths!AB135+11)</f>
        <v>0</v>
      </c>
      <c r="AA135" s="125">
        <f t="shared" si="6"/>
        <v>-4</v>
      </c>
      <c r="AB135" s="125">
        <f t="shared" si="7"/>
        <v>-2</v>
      </c>
      <c r="AC135" s="51" t="str">
        <f t="shared" si="8"/>
        <v>-2, -4</v>
      </c>
    </row>
    <row r="136" spans="1:29" x14ac:dyDescent="0.3">
      <c r="A136" s="31"/>
      <c r="B136" s="32"/>
      <c r="C136" s="32"/>
      <c r="Z136" s="124" cm="1">
        <f t="array" ref="Z136">INDEX(Map!$B$2:$V$22,-Paths!AA136+11,Paths!AB136+11)</f>
        <v>0</v>
      </c>
      <c r="AA136" s="125">
        <f t="shared" si="6"/>
        <v>-4</v>
      </c>
      <c r="AB136" s="125">
        <f t="shared" si="7"/>
        <v>-1</v>
      </c>
      <c r="AC136" s="51" t="str">
        <f t="shared" si="8"/>
        <v>-1, -4</v>
      </c>
    </row>
    <row r="137" spans="1:29" x14ac:dyDescent="0.3">
      <c r="A137" s="18"/>
      <c r="B137" s="18"/>
      <c r="C137" s="19"/>
      <c r="Z137" s="124" cm="1">
        <f t="array" ref="Z137">INDEX(Map!$B$2:$V$22,-Paths!AA137+11,Paths!AB137+11)</f>
        <v>0</v>
      </c>
      <c r="AA137" s="125">
        <f t="shared" si="6"/>
        <v>-4</v>
      </c>
      <c r="AB137" s="125">
        <f t="shared" si="7"/>
        <v>0</v>
      </c>
      <c r="AC137" s="51" t="str">
        <f t="shared" si="8"/>
        <v>0, -4</v>
      </c>
    </row>
    <row r="138" spans="1:29" x14ac:dyDescent="0.3">
      <c r="A138" s="26"/>
      <c r="B138" s="26"/>
      <c r="C138" s="27"/>
      <c r="Z138" s="124" cm="1">
        <f t="array" ref="Z138">INDEX(Map!$B$2:$V$22,-Paths!AA138+11,Paths!AB138+11)</f>
        <v>0</v>
      </c>
      <c r="AA138" s="125">
        <f t="shared" si="6"/>
        <v>-4</v>
      </c>
      <c r="AB138" s="125">
        <f t="shared" si="7"/>
        <v>1</v>
      </c>
      <c r="AC138" s="51" t="str">
        <f t="shared" si="8"/>
        <v>1, -4</v>
      </c>
    </row>
    <row r="139" spans="1:29" x14ac:dyDescent="0.3">
      <c r="A139" s="31"/>
      <c r="B139" s="32"/>
      <c r="C139" s="32"/>
      <c r="Z139" s="124" t="str" cm="1">
        <f t="array" ref="Z139">INDEX(Map!$B$2:$V$22,-Paths!AA139+11,Paths!AB139+11)</f>
        <v>Application4</v>
      </c>
      <c r="AA139" s="125">
        <f t="shared" si="6"/>
        <v>-4</v>
      </c>
      <c r="AB139" s="125">
        <f t="shared" si="7"/>
        <v>2</v>
      </c>
      <c r="AC139" s="51" t="str">
        <f t="shared" si="8"/>
        <v>2, -4</v>
      </c>
    </row>
    <row r="140" spans="1:29" x14ac:dyDescent="0.3">
      <c r="A140" s="18"/>
      <c r="B140" s="18"/>
      <c r="C140" s="19"/>
      <c r="Z140" s="124" cm="1">
        <f t="array" ref="Z140">INDEX(Map!$B$2:$V$22,-Paths!AA140+11,Paths!AB140+11)</f>
        <v>0</v>
      </c>
      <c r="AA140" s="125">
        <f t="shared" si="6"/>
        <v>-4</v>
      </c>
      <c r="AB140" s="125">
        <f t="shared" si="7"/>
        <v>3</v>
      </c>
      <c r="AC140" s="51" t="str">
        <f t="shared" si="8"/>
        <v>3, -4</v>
      </c>
    </row>
    <row r="141" spans="1:29" x14ac:dyDescent="0.3">
      <c r="A141" s="26"/>
      <c r="B141" s="26"/>
      <c r="C141" s="27"/>
      <c r="Z141" s="124" cm="1">
        <f t="array" ref="Z141">INDEX(Map!$B$2:$V$22,-Paths!AA141+11,Paths!AB141+11)</f>
        <v>0</v>
      </c>
      <c r="AA141" s="125">
        <f t="shared" si="6"/>
        <v>-4</v>
      </c>
      <c r="AB141" s="125">
        <f t="shared" si="7"/>
        <v>4</v>
      </c>
      <c r="AC141" s="51" t="str">
        <f t="shared" si="8"/>
        <v>4, -4</v>
      </c>
    </row>
    <row r="142" spans="1:29" ht="14.4" customHeight="1" x14ac:dyDescent="0.3">
      <c r="A142" s="31"/>
      <c r="B142" s="32"/>
      <c r="C142" s="32"/>
      <c r="Z142" s="124" cm="1">
        <f t="array" ref="Z142">INDEX(Map!$B$2:$V$22,-Paths!AA142+11,Paths!AB142+11)</f>
        <v>0</v>
      </c>
      <c r="AA142" s="125">
        <f t="shared" si="6"/>
        <v>-4</v>
      </c>
      <c r="AB142" s="125">
        <f t="shared" si="7"/>
        <v>5</v>
      </c>
      <c r="AC142" s="51" t="str">
        <f t="shared" si="8"/>
        <v>5, -4</v>
      </c>
    </row>
    <row r="143" spans="1:29" x14ac:dyDescent="0.3">
      <c r="A143" s="18"/>
      <c r="B143" s="18"/>
      <c r="C143" s="19"/>
      <c r="Z143" s="124" cm="1">
        <f t="array" ref="Z143">INDEX(Map!$B$2:$V$22,-Paths!AA143+11,Paths!AB143+11)</f>
        <v>0</v>
      </c>
      <c r="AA143" s="125">
        <f t="shared" si="6"/>
        <v>-4</v>
      </c>
      <c r="AB143" s="125">
        <f t="shared" si="7"/>
        <v>6</v>
      </c>
      <c r="AC143" s="51" t="str">
        <f t="shared" si="8"/>
        <v>6, -4</v>
      </c>
    </row>
    <row r="144" spans="1:29" x14ac:dyDescent="0.3">
      <c r="A144" s="26"/>
      <c r="B144" s="26"/>
      <c r="C144" s="27"/>
      <c r="Z144" s="124" cm="1">
        <f t="array" ref="Z144">INDEX(Map!$B$2:$V$22,-Paths!AA144+11,Paths!AB144+11)</f>
        <v>0</v>
      </c>
      <c r="AA144" s="125">
        <f t="shared" si="6"/>
        <v>-4</v>
      </c>
      <c r="AB144" s="125">
        <f t="shared" si="7"/>
        <v>7</v>
      </c>
      <c r="AC144" s="51" t="str">
        <f t="shared" si="8"/>
        <v>7, -4</v>
      </c>
    </row>
    <row r="145" spans="1:29" x14ac:dyDescent="0.3">
      <c r="A145" s="31"/>
      <c r="B145" s="32"/>
      <c r="C145" s="32"/>
      <c r="Z145" s="124" cm="1">
        <f t="array" ref="Z145">INDEX(Map!$B$2:$V$22,-Paths!AA145+11,Paths!AB145+11)</f>
        <v>0</v>
      </c>
      <c r="AA145" s="125">
        <f t="shared" si="6"/>
        <v>-4</v>
      </c>
      <c r="AB145" s="125">
        <f t="shared" si="7"/>
        <v>8</v>
      </c>
      <c r="AC145" s="51" t="str">
        <f t="shared" si="8"/>
        <v>8, -4</v>
      </c>
    </row>
    <row r="146" spans="1:29" x14ac:dyDescent="0.3">
      <c r="A146" s="18"/>
      <c r="B146" s="18"/>
      <c r="C146" s="19"/>
      <c r="Z146" s="124" cm="1">
        <f t="array" ref="Z146">INDEX(Map!$B$2:$V$22,-Paths!AA146+11,Paths!AB146+11)</f>
        <v>0</v>
      </c>
      <c r="AA146" s="125">
        <f t="shared" si="6"/>
        <v>-4</v>
      </c>
      <c r="AB146" s="125">
        <f t="shared" si="7"/>
        <v>9</v>
      </c>
      <c r="AC146" s="51" t="str">
        <f t="shared" si="8"/>
        <v>9, -4</v>
      </c>
    </row>
    <row r="147" spans="1:29" x14ac:dyDescent="0.3">
      <c r="A147" s="26"/>
      <c r="B147" s="26"/>
      <c r="C147" s="27"/>
      <c r="Z147" s="124" cm="1">
        <f t="array" ref="Z147">INDEX(Map!$B$2:$V$22,-Paths!AA147+11,Paths!AB147+11)</f>
        <v>0</v>
      </c>
      <c r="AA147" s="125">
        <f t="shared" si="6"/>
        <v>-4</v>
      </c>
      <c r="AB147" s="125">
        <f t="shared" si="7"/>
        <v>10</v>
      </c>
      <c r="AC147" s="51" t="str">
        <f t="shared" si="8"/>
        <v>10, -4</v>
      </c>
    </row>
    <row r="148" spans="1:29" x14ac:dyDescent="0.3">
      <c r="A148" s="31"/>
      <c r="B148" s="32"/>
      <c r="C148" s="32"/>
      <c r="Z148" s="124" cm="1">
        <f t="array" ref="Z148">INDEX(Map!$B$2:$V$22,-Paths!AA148+11,Paths!AB148+11)</f>
        <v>0</v>
      </c>
      <c r="AA148" s="125">
        <f t="shared" si="6"/>
        <v>-3</v>
      </c>
      <c r="AB148" s="125">
        <f t="shared" si="7"/>
        <v>-10</v>
      </c>
      <c r="AC148" s="51" t="str">
        <f t="shared" si="8"/>
        <v>-10, -3</v>
      </c>
    </row>
    <row r="149" spans="1:29" x14ac:dyDescent="0.3">
      <c r="A149" s="18"/>
      <c r="B149" s="18"/>
      <c r="C149" s="19"/>
      <c r="Z149" s="124" cm="1">
        <f t="array" ref="Z149">INDEX(Map!$B$2:$V$22,-Paths!AA149+11,Paths!AB149+11)</f>
        <v>0</v>
      </c>
      <c r="AA149" s="125">
        <f t="shared" si="6"/>
        <v>-3</v>
      </c>
      <c r="AB149" s="125">
        <f t="shared" si="7"/>
        <v>-9</v>
      </c>
      <c r="AC149" s="51" t="str">
        <f t="shared" si="8"/>
        <v>-9, -3</v>
      </c>
    </row>
    <row r="150" spans="1:29" x14ac:dyDescent="0.3">
      <c r="A150" s="26"/>
      <c r="B150" s="26"/>
      <c r="C150" s="27"/>
      <c r="Z150" s="124" cm="1">
        <f t="array" ref="Z150">INDEX(Map!$B$2:$V$22,-Paths!AA150+11,Paths!AB150+11)</f>
        <v>0</v>
      </c>
      <c r="AA150" s="125">
        <f t="shared" si="6"/>
        <v>-3</v>
      </c>
      <c r="AB150" s="125">
        <f t="shared" si="7"/>
        <v>-8</v>
      </c>
      <c r="AC150" s="51" t="str">
        <f t="shared" si="8"/>
        <v>-8, -3</v>
      </c>
    </row>
    <row r="151" spans="1:29" x14ac:dyDescent="0.3">
      <c r="A151" s="31"/>
      <c r="B151" s="32"/>
      <c r="C151" s="32"/>
      <c r="Z151" s="124" cm="1">
        <f t="array" ref="Z151">INDEX(Map!$B$2:$V$22,-Paths!AA151+11,Paths!AB151+11)</f>
        <v>0</v>
      </c>
      <c r="AA151" s="125">
        <f t="shared" si="6"/>
        <v>-3</v>
      </c>
      <c r="AB151" s="125">
        <f t="shared" si="7"/>
        <v>-7</v>
      </c>
      <c r="AC151" s="51" t="str">
        <f t="shared" si="8"/>
        <v>-7, -3</v>
      </c>
    </row>
    <row r="152" spans="1:29" x14ac:dyDescent="0.3">
      <c r="A152" s="18"/>
      <c r="B152" s="18"/>
      <c r="C152" s="19"/>
      <c r="Z152" s="124" cm="1">
        <f t="array" ref="Z152">INDEX(Map!$B$2:$V$22,-Paths!AA152+11,Paths!AB152+11)</f>
        <v>0</v>
      </c>
      <c r="AA152" s="125">
        <f t="shared" si="6"/>
        <v>-3</v>
      </c>
      <c r="AB152" s="125">
        <f t="shared" si="7"/>
        <v>-6</v>
      </c>
      <c r="AC152" s="51" t="str">
        <f t="shared" si="8"/>
        <v>-6, -3</v>
      </c>
    </row>
    <row r="153" spans="1:29" x14ac:dyDescent="0.3">
      <c r="A153" s="26"/>
      <c r="B153" s="26"/>
      <c r="C153" s="27"/>
      <c r="Z153" s="124" cm="1">
        <f t="array" ref="Z153">INDEX(Map!$B$2:$V$22,-Paths!AA153+11,Paths!AB153+11)</f>
        <v>0</v>
      </c>
      <c r="AA153" s="125">
        <f t="shared" si="6"/>
        <v>-3</v>
      </c>
      <c r="AB153" s="125">
        <f t="shared" si="7"/>
        <v>-5</v>
      </c>
      <c r="AC153" s="51" t="str">
        <f t="shared" si="8"/>
        <v>-5, -3</v>
      </c>
    </row>
    <row r="154" spans="1:29" x14ac:dyDescent="0.3">
      <c r="A154" s="31"/>
      <c r="B154" s="32"/>
      <c r="C154" s="32"/>
      <c r="Z154" s="124" cm="1">
        <f t="array" ref="Z154">INDEX(Map!$B$2:$V$22,-Paths!AA154+11,Paths!AB154+11)</f>
        <v>0</v>
      </c>
      <c r="AA154" s="125">
        <f t="shared" si="6"/>
        <v>-3</v>
      </c>
      <c r="AB154" s="125">
        <f t="shared" si="7"/>
        <v>-4</v>
      </c>
      <c r="AC154" s="51" t="str">
        <f t="shared" si="8"/>
        <v>-4, -3</v>
      </c>
    </row>
    <row r="155" spans="1:29" x14ac:dyDescent="0.3">
      <c r="A155" s="18"/>
      <c r="B155" s="18"/>
      <c r="C155" s="19"/>
      <c r="Z155" s="124" cm="1">
        <f t="array" ref="Z155">INDEX(Map!$B$2:$V$22,-Paths!AA155+11,Paths!AB155+11)</f>
        <v>0</v>
      </c>
      <c r="AA155" s="125">
        <f t="shared" si="6"/>
        <v>-3</v>
      </c>
      <c r="AB155" s="125">
        <f t="shared" si="7"/>
        <v>-3</v>
      </c>
      <c r="AC155" s="51" t="str">
        <f t="shared" si="8"/>
        <v>-3, -3</v>
      </c>
    </row>
    <row r="156" spans="1:29" x14ac:dyDescent="0.3">
      <c r="A156" s="26"/>
      <c r="B156" s="26"/>
      <c r="C156" s="27"/>
      <c r="Z156" s="124" cm="1">
        <f t="array" ref="Z156">INDEX(Map!$B$2:$V$22,-Paths!AA156+11,Paths!AB156+11)</f>
        <v>0</v>
      </c>
      <c r="AA156" s="125">
        <f t="shared" si="6"/>
        <v>-3</v>
      </c>
      <c r="AB156" s="125">
        <f t="shared" si="7"/>
        <v>-2</v>
      </c>
      <c r="AC156" s="51" t="str">
        <f t="shared" si="8"/>
        <v>-2, -3</v>
      </c>
    </row>
    <row r="157" spans="1:29" x14ac:dyDescent="0.3">
      <c r="A157" s="31"/>
      <c r="B157" s="32"/>
      <c r="C157" s="32"/>
      <c r="Z157" s="124" cm="1">
        <f t="array" ref="Z157">INDEX(Map!$B$2:$V$22,-Paths!AA157+11,Paths!AB157+11)</f>
        <v>0</v>
      </c>
      <c r="AA157" s="125">
        <f t="shared" si="6"/>
        <v>-3</v>
      </c>
      <c r="AB157" s="125">
        <f t="shared" si="7"/>
        <v>-1</v>
      </c>
      <c r="AC157" s="51" t="str">
        <f t="shared" si="8"/>
        <v>-1, -3</v>
      </c>
    </row>
    <row r="158" spans="1:29" x14ac:dyDescent="0.3">
      <c r="A158" s="18"/>
      <c r="B158" s="18"/>
      <c r="C158" s="19"/>
      <c r="Z158" s="124" cm="1">
        <f t="array" ref="Z158">INDEX(Map!$B$2:$V$22,-Paths!AA158+11,Paths!AB158+11)</f>
        <v>0</v>
      </c>
      <c r="AA158" s="125">
        <f t="shared" si="6"/>
        <v>-3</v>
      </c>
      <c r="AB158" s="125">
        <f t="shared" si="7"/>
        <v>0</v>
      </c>
      <c r="AC158" s="51" t="str">
        <f t="shared" si="8"/>
        <v>0, -3</v>
      </c>
    </row>
    <row r="159" spans="1:29" x14ac:dyDescent="0.3">
      <c r="A159" s="26"/>
      <c r="B159" s="26"/>
      <c r="C159" s="27"/>
      <c r="Z159" s="124" cm="1">
        <f t="array" ref="Z159">INDEX(Map!$B$2:$V$22,-Paths!AA159+11,Paths!AB159+11)</f>
        <v>0</v>
      </c>
      <c r="AA159" s="125">
        <f t="shared" si="6"/>
        <v>-3</v>
      </c>
      <c r="AB159" s="125">
        <f t="shared" si="7"/>
        <v>1</v>
      </c>
      <c r="AC159" s="51" t="str">
        <f t="shared" si="8"/>
        <v>1, -3</v>
      </c>
    </row>
    <row r="160" spans="1:29" x14ac:dyDescent="0.3">
      <c r="A160" s="31"/>
      <c r="B160" s="32"/>
      <c r="C160" s="32"/>
      <c r="Z160" s="124" t="str" cm="1">
        <f t="array" ref="Z160">INDEX(Map!$B$2:$V$22,-Paths!AA160+11,Paths!AB160+11)</f>
        <v>Application3</v>
      </c>
      <c r="AA160" s="125">
        <f t="shared" si="6"/>
        <v>-3</v>
      </c>
      <c r="AB160" s="125">
        <f t="shared" si="7"/>
        <v>2</v>
      </c>
      <c r="AC160" s="51" t="str">
        <f t="shared" si="8"/>
        <v>2, -3</v>
      </c>
    </row>
    <row r="161" spans="1:29" x14ac:dyDescent="0.3">
      <c r="A161" s="18"/>
      <c r="B161" s="18"/>
      <c r="C161" s="19"/>
      <c r="Z161" s="124" cm="1">
        <f t="array" ref="Z161">INDEX(Map!$B$2:$V$22,-Paths!AA161+11,Paths!AB161+11)</f>
        <v>0</v>
      </c>
      <c r="AA161" s="125">
        <f t="shared" si="6"/>
        <v>-3</v>
      </c>
      <c r="AB161" s="125">
        <f t="shared" si="7"/>
        <v>3</v>
      </c>
      <c r="AC161" s="51" t="str">
        <f t="shared" si="8"/>
        <v>3, -3</v>
      </c>
    </row>
    <row r="162" spans="1:29" x14ac:dyDescent="0.3">
      <c r="A162" s="26"/>
      <c r="B162" s="26"/>
      <c r="C162" s="27"/>
      <c r="Z162" s="124" cm="1">
        <f t="array" ref="Z162">INDEX(Map!$B$2:$V$22,-Paths!AA162+11,Paths!AB162+11)</f>
        <v>0</v>
      </c>
      <c r="AA162" s="125">
        <f t="shared" si="6"/>
        <v>-3</v>
      </c>
      <c r="AB162" s="125">
        <f t="shared" si="7"/>
        <v>4</v>
      </c>
      <c r="AC162" s="51" t="str">
        <f t="shared" si="8"/>
        <v>4, -3</v>
      </c>
    </row>
    <row r="163" spans="1:29" x14ac:dyDescent="0.3">
      <c r="A163" s="31"/>
      <c r="B163" s="32"/>
      <c r="C163" s="32"/>
      <c r="Z163" s="124" cm="1">
        <f t="array" ref="Z163">INDEX(Map!$B$2:$V$22,-Paths!AA163+11,Paths!AB163+11)</f>
        <v>0</v>
      </c>
      <c r="AA163" s="125">
        <f t="shared" si="6"/>
        <v>-3</v>
      </c>
      <c r="AB163" s="125">
        <f t="shared" si="7"/>
        <v>5</v>
      </c>
      <c r="AC163" s="51" t="str">
        <f t="shared" si="8"/>
        <v>5, -3</v>
      </c>
    </row>
    <row r="164" spans="1:29" x14ac:dyDescent="0.3">
      <c r="A164" s="18"/>
      <c r="B164" s="18"/>
      <c r="C164" s="19"/>
      <c r="Z164" s="124" cm="1">
        <f t="array" ref="Z164">INDEX(Map!$B$2:$V$22,-Paths!AA164+11,Paths!AB164+11)</f>
        <v>0</v>
      </c>
      <c r="AA164" s="125">
        <f t="shared" si="6"/>
        <v>-3</v>
      </c>
      <c r="AB164" s="125">
        <f t="shared" si="7"/>
        <v>6</v>
      </c>
      <c r="AC164" s="51" t="str">
        <f t="shared" si="8"/>
        <v>6, -3</v>
      </c>
    </row>
    <row r="165" spans="1:29" x14ac:dyDescent="0.3">
      <c r="A165" s="26"/>
      <c r="B165" s="26"/>
      <c r="C165" s="27"/>
      <c r="Z165" s="124" cm="1">
        <f t="array" ref="Z165">INDEX(Map!$B$2:$V$22,-Paths!AA165+11,Paths!AB165+11)</f>
        <v>0</v>
      </c>
      <c r="AA165" s="125">
        <f t="shared" si="6"/>
        <v>-3</v>
      </c>
      <c r="AB165" s="125">
        <f t="shared" si="7"/>
        <v>7</v>
      </c>
      <c r="AC165" s="51" t="str">
        <f t="shared" si="8"/>
        <v>7, -3</v>
      </c>
    </row>
    <row r="166" spans="1:29" x14ac:dyDescent="0.3">
      <c r="A166" s="31"/>
      <c r="B166" s="32"/>
      <c r="C166" s="32"/>
      <c r="Z166" s="124" cm="1">
        <f t="array" ref="Z166">INDEX(Map!$B$2:$V$22,-Paths!AA166+11,Paths!AB166+11)</f>
        <v>0</v>
      </c>
      <c r="AA166" s="125">
        <f t="shared" si="6"/>
        <v>-3</v>
      </c>
      <c r="AB166" s="125">
        <f t="shared" si="7"/>
        <v>8</v>
      </c>
      <c r="AC166" s="51" t="str">
        <f t="shared" si="8"/>
        <v>8, -3</v>
      </c>
    </row>
    <row r="167" spans="1:29" x14ac:dyDescent="0.3">
      <c r="A167" s="18"/>
      <c r="B167" s="18"/>
      <c r="C167" s="19"/>
      <c r="Z167" s="124" cm="1">
        <f t="array" ref="Z167">INDEX(Map!$B$2:$V$22,-Paths!AA167+11,Paths!AB167+11)</f>
        <v>0</v>
      </c>
      <c r="AA167" s="125">
        <f t="shared" si="6"/>
        <v>-3</v>
      </c>
      <c r="AB167" s="125">
        <f t="shared" si="7"/>
        <v>9</v>
      </c>
      <c r="AC167" s="51" t="str">
        <f t="shared" si="8"/>
        <v>9, -3</v>
      </c>
    </row>
    <row r="168" spans="1:29" x14ac:dyDescent="0.3">
      <c r="A168" s="26"/>
      <c r="B168" s="26"/>
      <c r="C168" s="27"/>
      <c r="Z168" s="124" cm="1">
        <f t="array" ref="Z168">INDEX(Map!$B$2:$V$22,-Paths!AA168+11,Paths!AB168+11)</f>
        <v>0</v>
      </c>
      <c r="AA168" s="125">
        <f t="shared" si="6"/>
        <v>-3</v>
      </c>
      <c r="AB168" s="125">
        <f t="shared" si="7"/>
        <v>10</v>
      </c>
      <c r="AC168" s="51" t="str">
        <f t="shared" si="8"/>
        <v>10, -3</v>
      </c>
    </row>
    <row r="169" spans="1:29" x14ac:dyDescent="0.3">
      <c r="A169" s="31"/>
      <c r="B169" s="32"/>
      <c r="C169" s="32"/>
      <c r="Z169" s="124" cm="1">
        <f t="array" ref="Z169">INDEX(Map!$B$2:$V$22,-Paths!AA169+11,Paths!AB169+11)</f>
        <v>0</v>
      </c>
      <c r="AA169" s="125">
        <f t="shared" si="6"/>
        <v>-2</v>
      </c>
      <c r="AB169" s="125">
        <f t="shared" si="7"/>
        <v>-10</v>
      </c>
      <c r="AC169" s="51" t="str">
        <f t="shared" si="8"/>
        <v>-10, -2</v>
      </c>
    </row>
    <row r="170" spans="1:29" x14ac:dyDescent="0.3">
      <c r="A170" s="18"/>
      <c r="B170" s="18"/>
      <c r="C170" s="19"/>
      <c r="Z170" s="124" cm="1">
        <f t="array" ref="Z170">INDEX(Map!$B$2:$V$22,-Paths!AA170+11,Paths!AB170+11)</f>
        <v>0</v>
      </c>
      <c r="AA170" s="125">
        <f t="shared" si="6"/>
        <v>-2</v>
      </c>
      <c r="AB170" s="125">
        <f t="shared" si="7"/>
        <v>-9</v>
      </c>
      <c r="AC170" s="51" t="str">
        <f t="shared" si="8"/>
        <v>-9, -2</v>
      </c>
    </row>
    <row r="171" spans="1:29" x14ac:dyDescent="0.3">
      <c r="A171" s="26"/>
      <c r="B171" s="26"/>
      <c r="C171" s="27"/>
      <c r="Z171" s="124" cm="1">
        <f t="array" ref="Z171">INDEX(Map!$B$2:$V$22,-Paths!AA171+11,Paths!AB171+11)</f>
        <v>0</v>
      </c>
      <c r="AA171" s="125">
        <f t="shared" si="6"/>
        <v>-2</v>
      </c>
      <c r="AB171" s="125">
        <f t="shared" si="7"/>
        <v>-8</v>
      </c>
      <c r="AC171" s="51" t="str">
        <f t="shared" si="8"/>
        <v>-8, -2</v>
      </c>
    </row>
    <row r="172" spans="1:29" x14ac:dyDescent="0.3">
      <c r="A172" s="31"/>
      <c r="B172" s="32"/>
      <c r="C172" s="32"/>
      <c r="Z172" s="124" cm="1">
        <f t="array" ref="Z172">INDEX(Map!$B$2:$V$22,-Paths!AA172+11,Paths!AB172+11)</f>
        <v>0</v>
      </c>
      <c r="AA172" s="125">
        <f t="shared" si="6"/>
        <v>-2</v>
      </c>
      <c r="AB172" s="125">
        <f t="shared" si="7"/>
        <v>-7</v>
      </c>
      <c r="AC172" s="51" t="str">
        <f t="shared" si="8"/>
        <v>-7, -2</v>
      </c>
    </row>
    <row r="173" spans="1:29" x14ac:dyDescent="0.3">
      <c r="A173" s="18"/>
      <c r="B173" s="18"/>
      <c r="C173" s="19"/>
      <c r="Z173" s="124" cm="1">
        <f t="array" ref="Z173">INDEX(Map!$B$2:$V$22,-Paths!AA173+11,Paths!AB173+11)</f>
        <v>0</v>
      </c>
      <c r="AA173" s="125">
        <f t="shared" si="6"/>
        <v>-2</v>
      </c>
      <c r="AB173" s="125">
        <f t="shared" si="7"/>
        <v>-6</v>
      </c>
      <c r="AC173" s="51" t="str">
        <f t="shared" si="8"/>
        <v>-6, -2</v>
      </c>
    </row>
    <row r="174" spans="1:29" x14ac:dyDescent="0.3">
      <c r="A174" s="26"/>
      <c r="B174" s="26"/>
      <c r="C174" s="27"/>
      <c r="Z174" s="124" cm="1">
        <f t="array" ref="Z174">INDEX(Map!$B$2:$V$22,-Paths!AA174+11,Paths!AB174+11)</f>
        <v>0</v>
      </c>
      <c r="AA174" s="125">
        <f t="shared" si="6"/>
        <v>-2</v>
      </c>
      <c r="AB174" s="125">
        <f t="shared" si="7"/>
        <v>-5</v>
      </c>
      <c r="AC174" s="51" t="str">
        <f t="shared" si="8"/>
        <v>-5, -2</v>
      </c>
    </row>
    <row r="175" spans="1:29" x14ac:dyDescent="0.3">
      <c r="A175" s="31"/>
      <c r="B175" s="32"/>
      <c r="C175" s="32"/>
      <c r="Z175" s="124" cm="1">
        <f t="array" ref="Z175">INDEX(Map!$B$2:$V$22,-Paths!AA175+11,Paths!AB175+11)</f>
        <v>0</v>
      </c>
      <c r="AA175" s="125">
        <f t="shared" si="6"/>
        <v>-2</v>
      </c>
      <c r="AB175" s="125">
        <f t="shared" si="7"/>
        <v>-4</v>
      </c>
      <c r="AC175" s="51" t="str">
        <f t="shared" si="8"/>
        <v>-4, -2</v>
      </c>
    </row>
    <row r="176" spans="1:29" x14ac:dyDescent="0.3">
      <c r="A176" s="18"/>
      <c r="B176" s="18"/>
      <c r="C176" s="19"/>
      <c r="Z176" s="124" cm="1">
        <f t="array" ref="Z176">INDEX(Map!$B$2:$V$22,-Paths!AA176+11,Paths!AB176+11)</f>
        <v>0</v>
      </c>
      <c r="AA176" s="125">
        <f t="shared" si="6"/>
        <v>-2</v>
      </c>
      <c r="AB176" s="125">
        <f t="shared" si="7"/>
        <v>-3</v>
      </c>
      <c r="AC176" s="51" t="str">
        <f t="shared" si="8"/>
        <v>-3, -2</v>
      </c>
    </row>
    <row r="177" spans="1:29" x14ac:dyDescent="0.3">
      <c r="A177" s="26"/>
      <c r="B177" s="26"/>
      <c r="C177" s="27"/>
      <c r="Z177" s="124" cm="1">
        <f t="array" ref="Z177">INDEX(Map!$B$2:$V$22,-Paths!AA177+11,Paths!AB177+11)</f>
        <v>0</v>
      </c>
      <c r="AA177" s="125">
        <f t="shared" si="6"/>
        <v>-2</v>
      </c>
      <c r="AB177" s="125">
        <f t="shared" si="7"/>
        <v>-2</v>
      </c>
      <c r="AC177" s="51" t="str">
        <f t="shared" si="8"/>
        <v>-2, -2</v>
      </c>
    </row>
    <row r="178" spans="1:29" x14ac:dyDescent="0.3">
      <c r="A178" s="31"/>
      <c r="B178" s="32"/>
      <c r="C178" s="32"/>
      <c r="Z178" s="124" cm="1">
        <f t="array" ref="Z178">INDEX(Map!$B$2:$V$22,-Paths!AA178+11,Paths!AB178+11)</f>
        <v>0</v>
      </c>
      <c r="AA178" s="125">
        <f t="shared" si="6"/>
        <v>-2</v>
      </c>
      <c r="AB178" s="125">
        <f t="shared" si="7"/>
        <v>-1</v>
      </c>
      <c r="AC178" s="51" t="str">
        <f t="shared" si="8"/>
        <v>-1, -2</v>
      </c>
    </row>
    <row r="179" spans="1:29" x14ac:dyDescent="0.3">
      <c r="A179" s="18"/>
      <c r="B179" s="18"/>
      <c r="C179" s="19"/>
      <c r="Z179" s="124" cm="1">
        <f t="array" ref="Z179">INDEX(Map!$B$2:$V$22,-Paths!AA179+11,Paths!AB179+11)</f>
        <v>0</v>
      </c>
      <c r="AA179" s="125">
        <f t="shared" si="6"/>
        <v>-2</v>
      </c>
      <c r="AB179" s="125">
        <f t="shared" si="7"/>
        <v>0</v>
      </c>
      <c r="AC179" s="51" t="str">
        <f t="shared" si="8"/>
        <v>0, -2</v>
      </c>
    </row>
    <row r="180" spans="1:29" x14ac:dyDescent="0.3">
      <c r="A180" s="26"/>
      <c r="B180" s="26"/>
      <c r="C180" s="27"/>
      <c r="Z180" s="124" cm="1">
        <f t="array" ref="Z180">INDEX(Map!$B$2:$V$22,-Paths!AA180+11,Paths!AB180+11)</f>
        <v>0</v>
      </c>
      <c r="AA180" s="125">
        <f t="shared" si="6"/>
        <v>-2</v>
      </c>
      <c r="AB180" s="125">
        <f t="shared" si="7"/>
        <v>1</v>
      </c>
      <c r="AC180" s="51" t="str">
        <f t="shared" si="8"/>
        <v>1, -2</v>
      </c>
    </row>
    <row r="181" spans="1:29" x14ac:dyDescent="0.3">
      <c r="A181" s="31"/>
      <c r="B181" s="32"/>
      <c r="C181" s="32"/>
      <c r="Z181" s="124" t="str" cm="1">
        <f t="array" ref="Z181">INDEX(Map!$B$2:$V$22,-Paths!AA181+11,Paths!AB181+11)</f>
        <v>Application2</v>
      </c>
      <c r="AA181" s="125">
        <f t="shared" si="6"/>
        <v>-2</v>
      </c>
      <c r="AB181" s="125">
        <f t="shared" si="7"/>
        <v>2</v>
      </c>
      <c r="AC181" s="51" t="str">
        <f t="shared" si="8"/>
        <v>2, -2</v>
      </c>
    </row>
    <row r="182" spans="1:29" x14ac:dyDescent="0.3">
      <c r="A182" s="18"/>
      <c r="B182" s="18"/>
      <c r="C182" s="19"/>
      <c r="Z182" s="124" cm="1">
        <f t="array" ref="Z182">INDEX(Map!$B$2:$V$22,-Paths!AA182+11,Paths!AB182+11)</f>
        <v>0</v>
      </c>
      <c r="AA182" s="125">
        <f t="shared" si="6"/>
        <v>-2</v>
      </c>
      <c r="AB182" s="125">
        <f t="shared" si="7"/>
        <v>3</v>
      </c>
      <c r="AC182" s="51" t="str">
        <f t="shared" si="8"/>
        <v>3, -2</v>
      </c>
    </row>
    <row r="183" spans="1:29" x14ac:dyDescent="0.3">
      <c r="A183" s="26"/>
      <c r="B183" s="26"/>
      <c r="C183" s="27"/>
      <c r="Z183" s="124" cm="1">
        <f t="array" ref="Z183">INDEX(Map!$B$2:$V$22,-Paths!AA183+11,Paths!AB183+11)</f>
        <v>0</v>
      </c>
      <c r="AA183" s="125">
        <f t="shared" si="6"/>
        <v>-2</v>
      </c>
      <c r="AB183" s="125">
        <f t="shared" si="7"/>
        <v>4</v>
      </c>
      <c r="AC183" s="51" t="str">
        <f t="shared" si="8"/>
        <v>4, -2</v>
      </c>
    </row>
    <row r="184" spans="1:29" x14ac:dyDescent="0.3">
      <c r="A184" s="31"/>
      <c r="B184" s="32"/>
      <c r="C184" s="32"/>
      <c r="Z184" s="124" cm="1">
        <f t="array" ref="Z184">INDEX(Map!$B$2:$V$22,-Paths!AA184+11,Paths!AB184+11)</f>
        <v>0</v>
      </c>
      <c r="AA184" s="125">
        <f t="shared" si="6"/>
        <v>-2</v>
      </c>
      <c r="AB184" s="125">
        <f t="shared" si="7"/>
        <v>5</v>
      </c>
      <c r="AC184" s="51" t="str">
        <f t="shared" si="8"/>
        <v>5, -2</v>
      </c>
    </row>
    <row r="185" spans="1:29" x14ac:dyDescent="0.3">
      <c r="A185" s="18"/>
      <c r="B185" s="18"/>
      <c r="C185" s="19"/>
      <c r="Z185" s="124" cm="1">
        <f t="array" ref="Z185">INDEX(Map!$B$2:$V$22,-Paths!AA185+11,Paths!AB185+11)</f>
        <v>0</v>
      </c>
      <c r="AA185" s="125">
        <f t="shared" si="6"/>
        <v>-2</v>
      </c>
      <c r="AB185" s="125">
        <f t="shared" si="7"/>
        <v>6</v>
      </c>
      <c r="AC185" s="51" t="str">
        <f t="shared" si="8"/>
        <v>6, -2</v>
      </c>
    </row>
    <row r="186" spans="1:29" x14ac:dyDescent="0.3">
      <c r="A186" s="26"/>
      <c r="B186" s="26"/>
      <c r="C186" s="27"/>
      <c r="Z186" s="124" cm="1">
        <f t="array" ref="Z186">INDEX(Map!$B$2:$V$22,-Paths!AA186+11,Paths!AB186+11)</f>
        <v>0</v>
      </c>
      <c r="AA186" s="125">
        <f t="shared" si="6"/>
        <v>-2</v>
      </c>
      <c r="AB186" s="125">
        <f t="shared" si="7"/>
        <v>7</v>
      </c>
      <c r="AC186" s="51" t="str">
        <f t="shared" si="8"/>
        <v>7, -2</v>
      </c>
    </row>
    <row r="187" spans="1:29" x14ac:dyDescent="0.3">
      <c r="A187" s="31"/>
      <c r="B187" s="32"/>
      <c r="C187" s="32"/>
      <c r="Z187" s="124" cm="1">
        <f t="array" ref="Z187">INDEX(Map!$B$2:$V$22,-Paths!AA187+11,Paths!AB187+11)</f>
        <v>0</v>
      </c>
      <c r="AA187" s="125">
        <f t="shared" si="6"/>
        <v>-2</v>
      </c>
      <c r="AB187" s="125">
        <f t="shared" si="7"/>
        <v>8</v>
      </c>
      <c r="AC187" s="51" t="str">
        <f t="shared" si="8"/>
        <v>8, -2</v>
      </c>
    </row>
    <row r="188" spans="1:29" x14ac:dyDescent="0.3">
      <c r="A188" s="18"/>
      <c r="B188" s="18"/>
      <c r="C188" s="19"/>
      <c r="Z188" s="124" cm="1">
        <f t="array" ref="Z188">INDEX(Map!$B$2:$V$22,-Paths!AA188+11,Paths!AB188+11)</f>
        <v>0</v>
      </c>
      <c r="AA188" s="125">
        <f t="shared" si="6"/>
        <v>-2</v>
      </c>
      <c r="AB188" s="125">
        <f t="shared" si="7"/>
        <v>9</v>
      </c>
      <c r="AC188" s="51" t="str">
        <f t="shared" si="8"/>
        <v>9, -2</v>
      </c>
    </row>
    <row r="189" spans="1:29" x14ac:dyDescent="0.3">
      <c r="A189" s="26"/>
      <c r="B189" s="26"/>
      <c r="C189" s="27"/>
      <c r="Z189" s="124" cm="1">
        <f t="array" ref="Z189">INDEX(Map!$B$2:$V$22,-Paths!AA189+11,Paths!AB189+11)</f>
        <v>0</v>
      </c>
      <c r="AA189" s="125">
        <f t="shared" si="6"/>
        <v>-2</v>
      </c>
      <c r="AB189" s="125">
        <f t="shared" si="7"/>
        <v>10</v>
      </c>
      <c r="AC189" s="51" t="str">
        <f t="shared" si="8"/>
        <v>10, -2</v>
      </c>
    </row>
    <row r="190" spans="1:29" x14ac:dyDescent="0.3">
      <c r="A190" s="31"/>
      <c r="B190" s="32"/>
      <c r="C190" s="32"/>
      <c r="Z190" s="124" cm="1">
        <f t="array" ref="Z190">INDEX(Map!$B$2:$V$22,-Paths!AA190+11,Paths!AB190+11)</f>
        <v>0</v>
      </c>
      <c r="AA190" s="125">
        <f t="shared" si="6"/>
        <v>-1</v>
      </c>
      <c r="AB190" s="125">
        <f t="shared" si="7"/>
        <v>-10</v>
      </c>
      <c r="AC190" s="51" t="str">
        <f t="shared" si="8"/>
        <v>-10, -1</v>
      </c>
    </row>
    <row r="191" spans="1:29" x14ac:dyDescent="0.3">
      <c r="A191" s="18"/>
      <c r="B191" s="18"/>
      <c r="C191" s="19"/>
      <c r="Z191" s="124" cm="1">
        <f t="array" ref="Z191">INDEX(Map!$B$2:$V$22,-Paths!AA191+11,Paths!AB191+11)</f>
        <v>0</v>
      </c>
      <c r="AA191" s="125">
        <f t="shared" si="6"/>
        <v>-1</v>
      </c>
      <c r="AB191" s="125">
        <f t="shared" si="7"/>
        <v>-9</v>
      </c>
      <c r="AC191" s="51" t="str">
        <f t="shared" si="8"/>
        <v>-9, -1</v>
      </c>
    </row>
    <row r="192" spans="1:29" x14ac:dyDescent="0.3">
      <c r="A192" s="26"/>
      <c r="B192" s="26"/>
      <c r="C192" s="27"/>
      <c r="Z192" s="124" cm="1">
        <f t="array" ref="Z192">INDEX(Map!$B$2:$V$22,-Paths!AA192+11,Paths!AB192+11)</f>
        <v>0</v>
      </c>
      <c r="AA192" s="125">
        <f t="shared" si="6"/>
        <v>-1</v>
      </c>
      <c r="AB192" s="125">
        <f t="shared" si="7"/>
        <v>-8</v>
      </c>
      <c r="AC192" s="51" t="str">
        <f t="shared" si="8"/>
        <v>-8, -1</v>
      </c>
    </row>
    <row r="193" spans="1:29" x14ac:dyDescent="0.3">
      <c r="A193" s="31"/>
      <c r="B193" s="32"/>
      <c r="C193" s="32"/>
      <c r="Z193" s="124" cm="1">
        <f t="array" ref="Z193">INDEX(Map!$B$2:$V$22,-Paths!AA193+11,Paths!AB193+11)</f>
        <v>0</v>
      </c>
      <c r="AA193" s="125">
        <f t="shared" ref="AA193:AA256" si="9">QUOTIENT(ROW(AB193)-1,21)-10</f>
        <v>-1</v>
      </c>
      <c r="AB193" s="125">
        <f t="shared" ref="AB193:AB256" si="10">MOD(ROW(AB193)-1,21)-10</f>
        <v>-7</v>
      </c>
      <c r="AC193" s="51" t="str">
        <f t="shared" si="8"/>
        <v>-7, -1</v>
      </c>
    </row>
    <row r="194" spans="1:29" x14ac:dyDescent="0.3">
      <c r="A194" s="18"/>
      <c r="B194" s="18"/>
      <c r="C194" s="19"/>
      <c r="Z194" s="124" cm="1">
        <f t="array" ref="Z194">INDEX(Map!$B$2:$V$22,-Paths!AA194+11,Paths!AB194+11)</f>
        <v>0</v>
      </c>
      <c r="AA194" s="125">
        <f t="shared" si="9"/>
        <v>-1</v>
      </c>
      <c r="AB194" s="125">
        <f t="shared" si="10"/>
        <v>-6</v>
      </c>
      <c r="AC194" s="51" t="str">
        <f t="shared" ref="AC194:AC257" si="11">AB194&amp;", "&amp;AA194</f>
        <v>-6, -1</v>
      </c>
    </row>
    <row r="195" spans="1:29" x14ac:dyDescent="0.3">
      <c r="A195" s="26"/>
      <c r="B195" s="26"/>
      <c r="C195" s="27"/>
      <c r="Z195" s="124" cm="1">
        <f t="array" ref="Z195">INDEX(Map!$B$2:$V$22,-Paths!AA195+11,Paths!AB195+11)</f>
        <v>0</v>
      </c>
      <c r="AA195" s="125">
        <f t="shared" si="9"/>
        <v>-1</v>
      </c>
      <c r="AB195" s="125">
        <f t="shared" si="10"/>
        <v>-5</v>
      </c>
      <c r="AC195" s="51" t="str">
        <f t="shared" si="11"/>
        <v>-5, -1</v>
      </c>
    </row>
    <row r="196" spans="1:29" x14ac:dyDescent="0.3">
      <c r="A196" s="31"/>
      <c r="B196" s="32"/>
      <c r="C196" s="32"/>
      <c r="Z196" s="124" cm="1">
        <f t="array" ref="Z196">INDEX(Map!$B$2:$V$22,-Paths!AA196+11,Paths!AB196+11)</f>
        <v>0</v>
      </c>
      <c r="AA196" s="125">
        <f t="shared" si="9"/>
        <v>-1</v>
      </c>
      <c r="AB196" s="125">
        <f t="shared" si="10"/>
        <v>-4</v>
      </c>
      <c r="AC196" s="51" t="str">
        <f t="shared" si="11"/>
        <v>-4, -1</v>
      </c>
    </row>
    <row r="197" spans="1:29" x14ac:dyDescent="0.3">
      <c r="A197" s="18"/>
      <c r="B197" s="18"/>
      <c r="C197" s="19"/>
      <c r="Z197" s="124" cm="1">
        <f t="array" ref="Z197">INDEX(Map!$B$2:$V$22,-Paths!AA197+11,Paths!AB197+11)</f>
        <v>0</v>
      </c>
      <c r="AA197" s="125">
        <f t="shared" si="9"/>
        <v>-1</v>
      </c>
      <c r="AB197" s="125">
        <f t="shared" si="10"/>
        <v>-3</v>
      </c>
      <c r="AC197" s="51" t="str">
        <f t="shared" si="11"/>
        <v>-3, -1</v>
      </c>
    </row>
    <row r="198" spans="1:29" x14ac:dyDescent="0.3">
      <c r="A198" s="26"/>
      <c r="B198" s="26"/>
      <c r="C198" s="27"/>
      <c r="Z198" s="124" cm="1">
        <f t="array" ref="Z198">INDEX(Map!$B$2:$V$22,-Paths!AA198+11,Paths!AB198+11)</f>
        <v>0</v>
      </c>
      <c r="AA198" s="125">
        <f t="shared" si="9"/>
        <v>-1</v>
      </c>
      <c r="AB198" s="125">
        <f t="shared" si="10"/>
        <v>-2</v>
      </c>
      <c r="AC198" s="51" t="str">
        <f t="shared" si="11"/>
        <v>-2, -1</v>
      </c>
    </row>
    <row r="199" spans="1:29" x14ac:dyDescent="0.3">
      <c r="A199" s="31"/>
      <c r="B199" s="32"/>
      <c r="C199" s="32"/>
      <c r="Z199" s="124" cm="1">
        <f t="array" ref="Z199">INDEX(Map!$B$2:$V$22,-Paths!AA199+11,Paths!AB199+11)</f>
        <v>0</v>
      </c>
      <c r="AA199" s="125">
        <f t="shared" si="9"/>
        <v>-1</v>
      </c>
      <c r="AB199" s="125">
        <f t="shared" si="10"/>
        <v>-1</v>
      </c>
      <c r="AC199" s="51" t="str">
        <f t="shared" si="11"/>
        <v>-1, -1</v>
      </c>
    </row>
    <row r="200" spans="1:29" x14ac:dyDescent="0.3">
      <c r="A200" s="18"/>
      <c r="B200" s="18"/>
      <c r="C200" s="19"/>
      <c r="Z200" s="124" cm="1">
        <f t="array" ref="Z200">INDEX(Map!$B$2:$V$22,-Paths!AA200+11,Paths!AB200+11)</f>
        <v>0</v>
      </c>
      <c r="AA200" s="125">
        <f t="shared" si="9"/>
        <v>-1</v>
      </c>
      <c r="AB200" s="125">
        <f t="shared" si="10"/>
        <v>0</v>
      </c>
      <c r="AC200" s="51" t="str">
        <f t="shared" si="11"/>
        <v>0, -1</v>
      </c>
    </row>
    <row r="201" spans="1:29" x14ac:dyDescent="0.3">
      <c r="A201" s="26"/>
      <c r="B201" s="26"/>
      <c r="C201" s="27"/>
      <c r="Z201" s="124" cm="1">
        <f t="array" ref="Z201">INDEX(Map!$B$2:$V$22,-Paths!AA201+11,Paths!AB201+11)</f>
        <v>0</v>
      </c>
      <c r="AA201" s="125">
        <f t="shared" si="9"/>
        <v>-1</v>
      </c>
      <c r="AB201" s="125">
        <f t="shared" si="10"/>
        <v>1</v>
      </c>
      <c r="AC201" s="51" t="str">
        <f t="shared" si="11"/>
        <v>1, -1</v>
      </c>
    </row>
    <row r="202" spans="1:29" x14ac:dyDescent="0.3">
      <c r="A202" s="31"/>
      <c r="B202" s="32"/>
      <c r="C202" s="32"/>
      <c r="Z202" s="124" t="str" cm="1">
        <f t="array" ref="Z202">INDEX(Map!$B$2:$V$22,-Paths!AA202+11,Paths!AB202+11)</f>
        <v>Application1</v>
      </c>
      <c r="AA202" s="125">
        <f t="shared" si="9"/>
        <v>-1</v>
      </c>
      <c r="AB202" s="125">
        <f t="shared" si="10"/>
        <v>2</v>
      </c>
      <c r="AC202" s="51" t="str">
        <f t="shared" si="11"/>
        <v>2, -1</v>
      </c>
    </row>
    <row r="203" spans="1:29" x14ac:dyDescent="0.3">
      <c r="A203" s="18"/>
      <c r="B203" s="18"/>
      <c r="C203" s="19"/>
      <c r="Z203" s="124" cm="1">
        <f t="array" ref="Z203">INDEX(Map!$B$2:$V$22,-Paths!AA203+11,Paths!AB203+11)</f>
        <v>0</v>
      </c>
      <c r="AA203" s="125">
        <f t="shared" si="9"/>
        <v>-1</v>
      </c>
      <c r="AB203" s="125">
        <f t="shared" si="10"/>
        <v>3</v>
      </c>
      <c r="AC203" s="51" t="str">
        <f t="shared" si="11"/>
        <v>3, -1</v>
      </c>
    </row>
    <row r="204" spans="1:29" x14ac:dyDescent="0.3">
      <c r="A204" s="26"/>
      <c r="B204" s="26"/>
      <c r="C204" s="27"/>
      <c r="Z204" s="124" cm="1">
        <f t="array" ref="Z204">INDEX(Map!$B$2:$V$22,-Paths!AA204+11,Paths!AB204+11)</f>
        <v>0</v>
      </c>
      <c r="AA204" s="125">
        <f t="shared" si="9"/>
        <v>-1</v>
      </c>
      <c r="AB204" s="125">
        <f t="shared" si="10"/>
        <v>4</v>
      </c>
      <c r="AC204" s="51" t="str">
        <f t="shared" si="11"/>
        <v>4, -1</v>
      </c>
    </row>
    <row r="205" spans="1:29" x14ac:dyDescent="0.3">
      <c r="A205" s="31"/>
      <c r="B205" s="32"/>
      <c r="C205" s="32"/>
      <c r="Z205" s="124" cm="1">
        <f t="array" ref="Z205">INDEX(Map!$B$2:$V$22,-Paths!AA205+11,Paths!AB205+11)</f>
        <v>0</v>
      </c>
      <c r="AA205" s="125">
        <f t="shared" si="9"/>
        <v>-1</v>
      </c>
      <c r="AB205" s="125">
        <f t="shared" si="10"/>
        <v>5</v>
      </c>
      <c r="AC205" s="51" t="str">
        <f t="shared" si="11"/>
        <v>5, -1</v>
      </c>
    </row>
    <row r="206" spans="1:29" x14ac:dyDescent="0.3">
      <c r="A206" s="18"/>
      <c r="B206" s="18"/>
      <c r="C206" s="19"/>
      <c r="Z206" s="124" cm="1">
        <f t="array" ref="Z206">INDEX(Map!$B$2:$V$22,-Paths!AA206+11,Paths!AB206+11)</f>
        <v>0</v>
      </c>
      <c r="AA206" s="125">
        <f t="shared" si="9"/>
        <v>-1</v>
      </c>
      <c r="AB206" s="125">
        <f t="shared" si="10"/>
        <v>6</v>
      </c>
      <c r="AC206" s="51" t="str">
        <f t="shared" si="11"/>
        <v>6, -1</v>
      </c>
    </row>
    <row r="207" spans="1:29" x14ac:dyDescent="0.3">
      <c r="A207" s="26"/>
      <c r="B207" s="26"/>
      <c r="C207" s="27"/>
      <c r="Z207" s="124" cm="1">
        <f t="array" ref="Z207">INDEX(Map!$B$2:$V$22,-Paths!AA207+11,Paths!AB207+11)</f>
        <v>0</v>
      </c>
      <c r="AA207" s="125">
        <f t="shared" si="9"/>
        <v>-1</v>
      </c>
      <c r="AB207" s="125">
        <f t="shared" si="10"/>
        <v>7</v>
      </c>
      <c r="AC207" s="51" t="str">
        <f t="shared" si="11"/>
        <v>7, -1</v>
      </c>
    </row>
    <row r="208" spans="1:29" x14ac:dyDescent="0.3">
      <c r="A208" s="31"/>
      <c r="B208" s="32"/>
      <c r="C208" s="32"/>
      <c r="Z208" s="124" cm="1">
        <f t="array" ref="Z208">INDEX(Map!$B$2:$V$22,-Paths!AA208+11,Paths!AB208+11)</f>
        <v>0</v>
      </c>
      <c r="AA208" s="125">
        <f t="shared" si="9"/>
        <v>-1</v>
      </c>
      <c r="AB208" s="125">
        <f t="shared" si="10"/>
        <v>8</v>
      </c>
      <c r="AC208" s="51" t="str">
        <f t="shared" si="11"/>
        <v>8, -1</v>
      </c>
    </row>
    <row r="209" spans="1:29" x14ac:dyDescent="0.3">
      <c r="A209" s="18"/>
      <c r="B209" s="18"/>
      <c r="C209" s="19"/>
      <c r="Z209" s="124" cm="1">
        <f t="array" ref="Z209">INDEX(Map!$B$2:$V$22,-Paths!AA209+11,Paths!AB209+11)</f>
        <v>0</v>
      </c>
      <c r="AA209" s="125">
        <f t="shared" si="9"/>
        <v>-1</v>
      </c>
      <c r="AB209" s="125">
        <f t="shared" si="10"/>
        <v>9</v>
      </c>
      <c r="AC209" s="51" t="str">
        <f t="shared" si="11"/>
        <v>9, -1</v>
      </c>
    </row>
    <row r="210" spans="1:29" x14ac:dyDescent="0.3">
      <c r="A210" s="26"/>
      <c r="B210" s="26"/>
      <c r="C210" s="27"/>
      <c r="Z210" s="124" cm="1">
        <f t="array" ref="Z210">INDEX(Map!$B$2:$V$22,-Paths!AA210+11,Paths!AB210+11)</f>
        <v>0</v>
      </c>
      <c r="AA210" s="125">
        <f t="shared" si="9"/>
        <v>-1</v>
      </c>
      <c r="AB210" s="125">
        <f t="shared" si="10"/>
        <v>10</v>
      </c>
      <c r="AC210" s="51" t="str">
        <f t="shared" si="11"/>
        <v>10, -1</v>
      </c>
    </row>
    <row r="211" spans="1:29" x14ac:dyDescent="0.3">
      <c r="A211" s="31"/>
      <c r="B211" s="32"/>
      <c r="C211" s="32"/>
      <c r="Z211" s="124" cm="1">
        <f t="array" ref="Z211">INDEX(Map!$B$2:$V$22,-Paths!AA211+11,Paths!AB211+11)</f>
        <v>0</v>
      </c>
      <c r="AA211" s="125">
        <f t="shared" si="9"/>
        <v>0</v>
      </c>
      <c r="AB211" s="125">
        <f t="shared" si="10"/>
        <v>-10</v>
      </c>
      <c r="AC211" s="51" t="str">
        <f t="shared" si="11"/>
        <v>-10, 0</v>
      </c>
    </row>
    <row r="212" spans="1:29" x14ac:dyDescent="0.3">
      <c r="A212" s="18"/>
      <c r="B212" s="18"/>
      <c r="C212" s="19"/>
      <c r="Z212" s="124" cm="1">
        <f t="array" ref="Z212">INDEX(Map!$B$2:$V$22,-Paths!AA212+11,Paths!AB212+11)</f>
        <v>0</v>
      </c>
      <c r="AA212" s="125">
        <f t="shared" si="9"/>
        <v>0</v>
      </c>
      <c r="AB212" s="125">
        <f t="shared" si="10"/>
        <v>-9</v>
      </c>
      <c r="AC212" s="51" t="str">
        <f t="shared" si="11"/>
        <v>-9, 0</v>
      </c>
    </row>
    <row r="213" spans="1:29" x14ac:dyDescent="0.3">
      <c r="A213" s="26"/>
      <c r="B213" s="26"/>
      <c r="C213" s="27"/>
      <c r="Z213" s="124" cm="1">
        <f t="array" ref="Z213">INDEX(Map!$B$2:$V$22,-Paths!AA213+11,Paths!AB213+11)</f>
        <v>0</v>
      </c>
      <c r="AA213" s="125">
        <f t="shared" si="9"/>
        <v>0</v>
      </c>
      <c r="AB213" s="125">
        <f t="shared" si="10"/>
        <v>-8</v>
      </c>
      <c r="AC213" s="51" t="str">
        <f t="shared" si="11"/>
        <v>-8, 0</v>
      </c>
    </row>
    <row r="214" spans="1:29" x14ac:dyDescent="0.3">
      <c r="A214" s="31"/>
      <c r="B214" s="32"/>
      <c r="C214" s="32"/>
      <c r="Z214" s="124" cm="1">
        <f t="array" ref="Z214">INDEX(Map!$B$2:$V$22,-Paths!AA214+11,Paths!AB214+11)</f>
        <v>0</v>
      </c>
      <c r="AA214" s="125">
        <f t="shared" si="9"/>
        <v>0</v>
      </c>
      <c r="AB214" s="125">
        <f t="shared" si="10"/>
        <v>-7</v>
      </c>
      <c r="AC214" s="51" t="str">
        <f t="shared" si="11"/>
        <v>-7, 0</v>
      </c>
    </row>
    <row r="215" spans="1:29" x14ac:dyDescent="0.3">
      <c r="A215" s="18"/>
      <c r="B215" s="18"/>
      <c r="C215" s="19"/>
      <c r="Z215" s="124" cm="1">
        <f t="array" ref="Z215">INDEX(Map!$B$2:$V$22,-Paths!AA215+11,Paths!AB215+11)</f>
        <v>0</v>
      </c>
      <c r="AA215" s="125">
        <f t="shared" si="9"/>
        <v>0</v>
      </c>
      <c r="AB215" s="125">
        <f t="shared" si="10"/>
        <v>-6</v>
      </c>
      <c r="AC215" s="51" t="str">
        <f t="shared" si="11"/>
        <v>-6, 0</v>
      </c>
    </row>
    <row r="216" spans="1:29" x14ac:dyDescent="0.3">
      <c r="A216" s="26"/>
      <c r="B216" s="26"/>
      <c r="C216" s="27"/>
      <c r="Z216" s="124" cm="1">
        <f t="array" ref="Z216">INDEX(Map!$B$2:$V$22,-Paths!AA216+11,Paths!AB216+11)</f>
        <v>0</v>
      </c>
      <c r="AA216" s="125">
        <f t="shared" si="9"/>
        <v>0</v>
      </c>
      <c r="AB216" s="125">
        <f t="shared" si="10"/>
        <v>-5</v>
      </c>
      <c r="AC216" s="51" t="str">
        <f t="shared" si="11"/>
        <v>-5, 0</v>
      </c>
    </row>
    <row r="217" spans="1:29" x14ac:dyDescent="0.3">
      <c r="A217" s="31"/>
      <c r="B217" s="32"/>
      <c r="C217" s="32"/>
      <c r="Z217" s="124" cm="1">
        <f t="array" ref="Z217">INDEX(Map!$B$2:$V$22,-Paths!AA217+11,Paths!AB217+11)</f>
        <v>0</v>
      </c>
      <c r="AA217" s="125">
        <f t="shared" si="9"/>
        <v>0</v>
      </c>
      <c r="AB217" s="125">
        <f t="shared" si="10"/>
        <v>-4</v>
      </c>
      <c r="AC217" s="51" t="str">
        <f t="shared" si="11"/>
        <v>-4, 0</v>
      </c>
    </row>
    <row r="218" spans="1:29" x14ac:dyDescent="0.3">
      <c r="A218" s="18"/>
      <c r="B218" s="18"/>
      <c r="C218" s="19"/>
      <c r="Z218" s="124" cm="1">
        <f t="array" ref="Z218">INDEX(Map!$B$2:$V$22,-Paths!AA218+11,Paths!AB218+11)</f>
        <v>0</v>
      </c>
      <c r="AA218" s="125">
        <f t="shared" si="9"/>
        <v>0</v>
      </c>
      <c r="AB218" s="125">
        <f t="shared" si="10"/>
        <v>-3</v>
      </c>
      <c r="AC218" s="51" t="str">
        <f t="shared" si="11"/>
        <v>-3, 0</v>
      </c>
    </row>
    <row r="219" spans="1:29" x14ac:dyDescent="0.3">
      <c r="A219" s="26"/>
      <c r="B219" s="26"/>
      <c r="C219" s="27"/>
      <c r="Z219" s="124" cm="1">
        <f t="array" ref="Z219">INDEX(Map!$B$2:$V$22,-Paths!AA219+11,Paths!AB219+11)</f>
        <v>0</v>
      </c>
      <c r="AA219" s="125">
        <f t="shared" si="9"/>
        <v>0</v>
      </c>
      <c r="AB219" s="125">
        <f t="shared" si="10"/>
        <v>-2</v>
      </c>
      <c r="AC219" s="51" t="str">
        <f t="shared" si="11"/>
        <v>-2, 0</v>
      </c>
    </row>
    <row r="220" spans="1:29" x14ac:dyDescent="0.3">
      <c r="A220" s="31"/>
      <c r="B220" s="32"/>
      <c r="C220" s="32"/>
      <c r="Z220" s="124" cm="1">
        <f t="array" ref="Z220">INDEX(Map!$B$2:$V$22,-Paths!AA220+11,Paths!AB220+11)</f>
        <v>0</v>
      </c>
      <c r="AA220" s="125">
        <f t="shared" si="9"/>
        <v>0</v>
      </c>
      <c r="AB220" s="125">
        <f t="shared" si="10"/>
        <v>-1</v>
      </c>
      <c r="AC220" s="51" t="str">
        <f t="shared" si="11"/>
        <v>-1, 0</v>
      </c>
    </row>
    <row r="221" spans="1:29" x14ac:dyDescent="0.3">
      <c r="A221" s="18"/>
      <c r="B221" s="18"/>
      <c r="C221" s="19"/>
      <c r="Z221" s="124" t="str" cm="1">
        <f t="array" ref="Z221">INDEX(Map!$B$2:$V$22,-Paths!AA221+11,Paths!AB221+11)</f>
        <v>Intro</v>
      </c>
      <c r="AA221" s="125">
        <f t="shared" si="9"/>
        <v>0</v>
      </c>
      <c r="AB221" s="125">
        <f t="shared" si="10"/>
        <v>0</v>
      </c>
      <c r="AC221" s="51" t="str">
        <f t="shared" si="11"/>
        <v>0, 0</v>
      </c>
    </row>
    <row r="222" spans="1:29" x14ac:dyDescent="0.3">
      <c r="A222" s="26"/>
      <c r="B222" s="26"/>
      <c r="C222" s="27"/>
      <c r="Z222" s="124" t="str" cm="1">
        <f t="array" ref="Z222">INDEX(Map!$B$2:$V$22,-Paths!AA222+11,Paths!AB222+11)</f>
        <v>Features</v>
      </c>
      <c r="AA222" s="125">
        <f t="shared" si="9"/>
        <v>0</v>
      </c>
      <c r="AB222" s="125">
        <f t="shared" si="10"/>
        <v>1</v>
      </c>
      <c r="AC222" s="51" t="str">
        <f t="shared" si="11"/>
        <v>1, 0</v>
      </c>
    </row>
    <row r="223" spans="1:29" x14ac:dyDescent="0.3">
      <c r="A223" s="31"/>
      <c r="B223" s="32"/>
      <c r="C223" s="32"/>
      <c r="Z223" s="124" t="str" cm="1">
        <f t="array" ref="Z223">INDEX(Map!$B$2:$V$22,-Paths!AA223+11,Paths!AB223+11)</f>
        <v>Applications</v>
      </c>
      <c r="AA223" s="125">
        <f t="shared" si="9"/>
        <v>0</v>
      </c>
      <c r="AB223" s="125">
        <f t="shared" si="10"/>
        <v>2</v>
      </c>
      <c r="AC223" s="51" t="str">
        <f t="shared" si="11"/>
        <v>2, 0</v>
      </c>
    </row>
    <row r="224" spans="1:29" x14ac:dyDescent="0.3">
      <c r="A224" s="18"/>
      <c r="B224" s="18"/>
      <c r="C224" s="19"/>
      <c r="Z224" s="124" t="str" cm="1">
        <f t="array" ref="Z224">INDEX(Map!$B$2:$V$22,-Paths!AA224+11,Paths!AB224+11)</f>
        <v>Benefits</v>
      </c>
      <c r="AA224" s="125">
        <f t="shared" si="9"/>
        <v>0</v>
      </c>
      <c r="AB224" s="125">
        <f t="shared" si="10"/>
        <v>3</v>
      </c>
      <c r="AC224" s="51" t="str">
        <f t="shared" si="11"/>
        <v>3, 0</v>
      </c>
    </row>
    <row r="225" spans="1:29" x14ac:dyDescent="0.3">
      <c r="A225" s="26"/>
      <c r="B225" s="26"/>
      <c r="C225" s="27"/>
      <c r="Z225" s="124" cm="1">
        <f t="array" ref="Z225">INDEX(Map!$B$2:$V$22,-Paths!AA225+11,Paths!AB225+11)</f>
        <v>0</v>
      </c>
      <c r="AA225" s="125">
        <f t="shared" si="9"/>
        <v>0</v>
      </c>
      <c r="AB225" s="125">
        <f t="shared" si="10"/>
        <v>4</v>
      </c>
      <c r="AC225" s="51" t="str">
        <f t="shared" si="11"/>
        <v>4, 0</v>
      </c>
    </row>
    <row r="226" spans="1:29" x14ac:dyDescent="0.3">
      <c r="A226" s="31"/>
      <c r="B226" s="32"/>
      <c r="C226" s="32"/>
      <c r="Z226" s="124" cm="1">
        <f t="array" ref="Z226">INDEX(Map!$B$2:$V$22,-Paths!AA226+11,Paths!AB226+11)</f>
        <v>0</v>
      </c>
      <c r="AA226" s="125">
        <f t="shared" si="9"/>
        <v>0</v>
      </c>
      <c r="AB226" s="125">
        <f t="shared" si="10"/>
        <v>5</v>
      </c>
      <c r="AC226" s="51" t="str">
        <f t="shared" si="11"/>
        <v>5, 0</v>
      </c>
    </row>
    <row r="227" spans="1:29" x14ac:dyDescent="0.3">
      <c r="A227" s="18"/>
      <c r="B227" s="18"/>
      <c r="C227" s="19"/>
      <c r="Z227" s="124" cm="1">
        <f t="array" ref="Z227">INDEX(Map!$B$2:$V$22,-Paths!AA227+11,Paths!AB227+11)</f>
        <v>0</v>
      </c>
      <c r="AA227" s="125">
        <f t="shared" si="9"/>
        <v>0</v>
      </c>
      <c r="AB227" s="125">
        <f t="shared" si="10"/>
        <v>6</v>
      </c>
      <c r="AC227" s="51" t="str">
        <f t="shared" si="11"/>
        <v>6, 0</v>
      </c>
    </row>
    <row r="228" spans="1:29" x14ac:dyDescent="0.3">
      <c r="A228" s="26"/>
      <c r="B228" s="26"/>
      <c r="C228" s="27"/>
      <c r="Z228" s="124" cm="1">
        <f t="array" ref="Z228">INDEX(Map!$B$2:$V$22,-Paths!AA228+11,Paths!AB228+11)</f>
        <v>0</v>
      </c>
      <c r="AA228" s="125">
        <f t="shared" si="9"/>
        <v>0</v>
      </c>
      <c r="AB228" s="125">
        <f t="shared" si="10"/>
        <v>7</v>
      </c>
      <c r="AC228" s="51" t="str">
        <f t="shared" si="11"/>
        <v>7, 0</v>
      </c>
    </row>
    <row r="229" spans="1:29" x14ac:dyDescent="0.3">
      <c r="A229" s="31"/>
      <c r="B229" s="32"/>
      <c r="C229" s="32"/>
      <c r="Z229" s="124" cm="1">
        <f t="array" ref="Z229">INDEX(Map!$B$2:$V$22,-Paths!AA229+11,Paths!AB229+11)</f>
        <v>0</v>
      </c>
      <c r="AA229" s="125">
        <f t="shared" si="9"/>
        <v>0</v>
      </c>
      <c r="AB229" s="125">
        <f t="shared" si="10"/>
        <v>8</v>
      </c>
      <c r="AC229" s="51" t="str">
        <f t="shared" si="11"/>
        <v>8, 0</v>
      </c>
    </row>
    <row r="230" spans="1:29" x14ac:dyDescent="0.3">
      <c r="A230" s="18"/>
      <c r="B230" s="18"/>
      <c r="C230" s="19"/>
      <c r="Z230" s="124" cm="1">
        <f t="array" ref="Z230">INDEX(Map!$B$2:$V$22,-Paths!AA230+11,Paths!AB230+11)</f>
        <v>0</v>
      </c>
      <c r="AA230" s="125">
        <f t="shared" si="9"/>
        <v>0</v>
      </c>
      <c r="AB230" s="125">
        <f t="shared" si="10"/>
        <v>9</v>
      </c>
      <c r="AC230" s="51" t="str">
        <f t="shared" si="11"/>
        <v>9, 0</v>
      </c>
    </row>
    <row r="231" spans="1:29" x14ac:dyDescent="0.3">
      <c r="A231" s="26"/>
      <c r="B231" s="26"/>
      <c r="C231" s="27"/>
      <c r="Z231" s="124" cm="1">
        <f t="array" ref="Z231">INDEX(Map!$B$2:$V$22,-Paths!AA231+11,Paths!AB231+11)</f>
        <v>0</v>
      </c>
      <c r="AA231" s="125">
        <f t="shared" si="9"/>
        <v>0</v>
      </c>
      <c r="AB231" s="125">
        <f t="shared" si="10"/>
        <v>10</v>
      </c>
      <c r="AC231" s="51" t="str">
        <f t="shared" si="11"/>
        <v>10, 0</v>
      </c>
    </row>
    <row r="232" spans="1:29" x14ac:dyDescent="0.3">
      <c r="A232" s="31"/>
      <c r="B232" s="32"/>
      <c r="C232" s="32"/>
      <c r="Z232" s="124" cm="1">
        <f t="array" ref="Z232">INDEX(Map!$B$2:$V$22,-Paths!AA232+11,Paths!AB232+11)</f>
        <v>0</v>
      </c>
      <c r="AA232" s="125">
        <f t="shared" si="9"/>
        <v>1</v>
      </c>
      <c r="AB232" s="125">
        <f t="shared" si="10"/>
        <v>-10</v>
      </c>
      <c r="AC232" s="51" t="str">
        <f t="shared" si="11"/>
        <v>-10, 1</v>
      </c>
    </row>
    <row r="233" spans="1:29" x14ac:dyDescent="0.3">
      <c r="A233" s="18"/>
      <c r="B233" s="18"/>
      <c r="C233" s="19"/>
      <c r="Z233" s="124" cm="1">
        <f t="array" ref="Z233">INDEX(Map!$B$2:$V$22,-Paths!AA233+11,Paths!AB233+11)</f>
        <v>0</v>
      </c>
      <c r="AA233" s="125">
        <f t="shared" si="9"/>
        <v>1</v>
      </c>
      <c r="AB233" s="125">
        <f t="shared" si="10"/>
        <v>-9</v>
      </c>
      <c r="AC233" s="51" t="str">
        <f t="shared" si="11"/>
        <v>-9, 1</v>
      </c>
    </row>
    <row r="234" spans="1:29" x14ac:dyDescent="0.3">
      <c r="A234" s="26"/>
      <c r="B234" s="26"/>
      <c r="C234" s="27"/>
      <c r="Z234" s="124" cm="1">
        <f t="array" ref="Z234">INDEX(Map!$B$2:$V$22,-Paths!AA234+11,Paths!AB234+11)</f>
        <v>0</v>
      </c>
      <c r="AA234" s="125">
        <f t="shared" si="9"/>
        <v>1</v>
      </c>
      <c r="AB234" s="125">
        <f t="shared" si="10"/>
        <v>-8</v>
      </c>
      <c r="AC234" s="51" t="str">
        <f t="shared" si="11"/>
        <v>-8, 1</v>
      </c>
    </row>
    <row r="235" spans="1:29" x14ac:dyDescent="0.3">
      <c r="A235" s="31"/>
      <c r="B235" s="32"/>
      <c r="C235" s="32"/>
      <c r="Z235" s="124" cm="1">
        <f t="array" ref="Z235">INDEX(Map!$B$2:$V$22,-Paths!AA235+11,Paths!AB235+11)</f>
        <v>0</v>
      </c>
      <c r="AA235" s="125">
        <f t="shared" si="9"/>
        <v>1</v>
      </c>
      <c r="AB235" s="125">
        <f t="shared" si="10"/>
        <v>-7</v>
      </c>
      <c r="AC235" s="51" t="str">
        <f t="shared" si="11"/>
        <v>-7, 1</v>
      </c>
    </row>
    <row r="236" spans="1:29" x14ac:dyDescent="0.3">
      <c r="A236" s="18"/>
      <c r="B236" s="18"/>
      <c r="C236" s="19"/>
      <c r="Z236" s="124" cm="1">
        <f t="array" ref="Z236">INDEX(Map!$B$2:$V$22,-Paths!AA236+11,Paths!AB236+11)</f>
        <v>0</v>
      </c>
      <c r="AA236" s="125">
        <f t="shared" si="9"/>
        <v>1</v>
      </c>
      <c r="AB236" s="125">
        <f t="shared" si="10"/>
        <v>-6</v>
      </c>
      <c r="AC236" s="51" t="str">
        <f t="shared" si="11"/>
        <v>-6, 1</v>
      </c>
    </row>
    <row r="237" spans="1:29" x14ac:dyDescent="0.3">
      <c r="A237" s="26"/>
      <c r="B237" s="26"/>
      <c r="C237" s="27"/>
      <c r="Z237" s="124" cm="1">
        <f t="array" ref="Z237">INDEX(Map!$B$2:$V$22,-Paths!AA237+11,Paths!AB237+11)</f>
        <v>0</v>
      </c>
      <c r="AA237" s="125">
        <f t="shared" si="9"/>
        <v>1</v>
      </c>
      <c r="AB237" s="125">
        <f t="shared" si="10"/>
        <v>-5</v>
      </c>
      <c r="AC237" s="51" t="str">
        <f t="shared" si="11"/>
        <v>-5, 1</v>
      </c>
    </row>
    <row r="238" spans="1:29" x14ac:dyDescent="0.3">
      <c r="A238" s="31"/>
      <c r="B238" s="32"/>
      <c r="C238" s="32"/>
      <c r="Z238" s="124" cm="1">
        <f t="array" ref="Z238">INDEX(Map!$B$2:$V$22,-Paths!AA238+11,Paths!AB238+11)</f>
        <v>0</v>
      </c>
      <c r="AA238" s="125">
        <f t="shared" si="9"/>
        <v>1</v>
      </c>
      <c r="AB238" s="125">
        <f t="shared" si="10"/>
        <v>-4</v>
      </c>
      <c r="AC238" s="51" t="str">
        <f t="shared" si="11"/>
        <v>-4, 1</v>
      </c>
    </row>
    <row r="239" spans="1:29" x14ac:dyDescent="0.3">
      <c r="A239" s="18"/>
      <c r="B239" s="18"/>
      <c r="C239" s="19"/>
      <c r="Z239" s="124" cm="1">
        <f t="array" ref="Z239">INDEX(Map!$B$2:$V$22,-Paths!AA239+11,Paths!AB239+11)</f>
        <v>0</v>
      </c>
      <c r="AA239" s="125">
        <f t="shared" si="9"/>
        <v>1</v>
      </c>
      <c r="AB239" s="125">
        <f t="shared" si="10"/>
        <v>-3</v>
      </c>
      <c r="AC239" s="51" t="str">
        <f t="shared" si="11"/>
        <v>-3, 1</v>
      </c>
    </row>
    <row r="240" spans="1:29" x14ac:dyDescent="0.3">
      <c r="A240" s="26"/>
      <c r="B240" s="26"/>
      <c r="C240" s="27"/>
      <c r="Z240" s="124" cm="1">
        <f t="array" ref="Z240">INDEX(Map!$B$2:$V$22,-Paths!AA240+11,Paths!AB240+11)</f>
        <v>0</v>
      </c>
      <c r="AA240" s="125">
        <f t="shared" si="9"/>
        <v>1</v>
      </c>
      <c r="AB240" s="125">
        <f t="shared" si="10"/>
        <v>-2</v>
      </c>
      <c r="AC240" s="51" t="str">
        <f t="shared" si="11"/>
        <v>-2, 1</v>
      </c>
    </row>
    <row r="241" spans="1:29" x14ac:dyDescent="0.3">
      <c r="A241" s="31"/>
      <c r="B241" s="32"/>
      <c r="C241" s="32"/>
      <c r="Z241" s="124" cm="1">
        <f t="array" ref="Z241">INDEX(Map!$B$2:$V$22,-Paths!AA241+11,Paths!AB241+11)</f>
        <v>0</v>
      </c>
      <c r="AA241" s="125">
        <f t="shared" si="9"/>
        <v>1</v>
      </c>
      <c r="AB241" s="125">
        <f t="shared" si="10"/>
        <v>-1</v>
      </c>
      <c r="AC241" s="51" t="str">
        <f t="shared" si="11"/>
        <v>-1, 1</v>
      </c>
    </row>
    <row r="242" spans="1:29" x14ac:dyDescent="0.3">
      <c r="A242" s="18"/>
      <c r="B242" s="18"/>
      <c r="C242" s="19"/>
      <c r="Z242" s="124" cm="1">
        <f t="array" ref="Z242">INDEX(Map!$B$2:$V$22,-Paths!AA242+11,Paths!AB242+11)</f>
        <v>0</v>
      </c>
      <c r="AA242" s="125">
        <f t="shared" si="9"/>
        <v>1</v>
      </c>
      <c r="AB242" s="125">
        <f t="shared" si="10"/>
        <v>0</v>
      </c>
      <c r="AC242" s="51" t="str">
        <f t="shared" si="11"/>
        <v>0, 1</v>
      </c>
    </row>
    <row r="243" spans="1:29" x14ac:dyDescent="0.3">
      <c r="A243" s="26"/>
      <c r="B243" s="26"/>
      <c r="C243" s="27"/>
      <c r="Z243" s="124" t="str" cm="1">
        <f t="array" ref="Z243">INDEX(Map!$B$2:$V$22,-Paths!AA243+11,Paths!AB243+11)</f>
        <v>Feature1</v>
      </c>
      <c r="AA243" s="125">
        <f t="shared" si="9"/>
        <v>1</v>
      </c>
      <c r="AB243" s="125">
        <f t="shared" si="10"/>
        <v>1</v>
      </c>
      <c r="AC243" s="51" t="str">
        <f t="shared" si="11"/>
        <v>1, 1</v>
      </c>
    </row>
    <row r="244" spans="1:29" x14ac:dyDescent="0.3">
      <c r="A244" s="31"/>
      <c r="B244" s="32"/>
      <c r="C244" s="32"/>
      <c r="Z244" s="124" cm="1">
        <f t="array" ref="Z244">INDEX(Map!$B$2:$V$22,-Paths!AA244+11,Paths!AB244+11)</f>
        <v>0</v>
      </c>
      <c r="AA244" s="125">
        <f t="shared" si="9"/>
        <v>1</v>
      </c>
      <c r="AB244" s="125">
        <f t="shared" si="10"/>
        <v>2</v>
      </c>
      <c r="AC244" s="51" t="str">
        <f t="shared" si="11"/>
        <v>2, 1</v>
      </c>
    </row>
    <row r="245" spans="1:29" x14ac:dyDescent="0.3">
      <c r="A245" s="18"/>
      <c r="B245" s="18"/>
      <c r="C245" s="19"/>
      <c r="Z245" s="124" t="str" cm="1">
        <f t="array" ref="Z245">INDEX(Map!$B$2:$V$22,-Paths!AA245+11,Paths!AB245+11)</f>
        <v>Benefit1</v>
      </c>
      <c r="AA245" s="125">
        <f t="shared" si="9"/>
        <v>1</v>
      </c>
      <c r="AB245" s="125">
        <f t="shared" si="10"/>
        <v>3</v>
      </c>
      <c r="AC245" s="51" t="str">
        <f t="shared" si="11"/>
        <v>3, 1</v>
      </c>
    </row>
    <row r="246" spans="1:29" x14ac:dyDescent="0.3">
      <c r="A246" s="26"/>
      <c r="B246" s="26"/>
      <c r="C246" s="27"/>
      <c r="Z246" s="124" cm="1">
        <f t="array" ref="Z246">INDEX(Map!$B$2:$V$22,-Paths!AA246+11,Paths!AB246+11)</f>
        <v>0</v>
      </c>
      <c r="AA246" s="125">
        <f t="shared" si="9"/>
        <v>1</v>
      </c>
      <c r="AB246" s="125">
        <f t="shared" si="10"/>
        <v>4</v>
      </c>
      <c r="AC246" s="51" t="str">
        <f t="shared" si="11"/>
        <v>4, 1</v>
      </c>
    </row>
    <row r="247" spans="1:29" x14ac:dyDescent="0.3">
      <c r="A247" s="31"/>
      <c r="B247" s="32"/>
      <c r="C247" s="32"/>
      <c r="Z247" s="124" cm="1">
        <f t="array" ref="Z247">INDEX(Map!$B$2:$V$22,-Paths!AA247+11,Paths!AB247+11)</f>
        <v>0</v>
      </c>
      <c r="AA247" s="125">
        <f t="shared" si="9"/>
        <v>1</v>
      </c>
      <c r="AB247" s="125">
        <f t="shared" si="10"/>
        <v>5</v>
      </c>
      <c r="AC247" s="51" t="str">
        <f t="shared" si="11"/>
        <v>5, 1</v>
      </c>
    </row>
    <row r="248" spans="1:29" x14ac:dyDescent="0.3">
      <c r="A248" s="18"/>
      <c r="B248" s="18"/>
      <c r="C248" s="19"/>
      <c r="Z248" s="124" cm="1">
        <f t="array" ref="Z248">INDEX(Map!$B$2:$V$22,-Paths!AA248+11,Paths!AB248+11)</f>
        <v>0</v>
      </c>
      <c r="AA248" s="125">
        <f t="shared" si="9"/>
        <v>1</v>
      </c>
      <c r="AB248" s="125">
        <f t="shared" si="10"/>
        <v>6</v>
      </c>
      <c r="AC248" s="51" t="str">
        <f t="shared" si="11"/>
        <v>6, 1</v>
      </c>
    </row>
    <row r="249" spans="1:29" x14ac:dyDescent="0.3">
      <c r="A249" s="26"/>
      <c r="B249" s="26"/>
      <c r="C249" s="27"/>
      <c r="Z249" s="124" cm="1">
        <f t="array" ref="Z249">INDEX(Map!$B$2:$V$22,-Paths!AA249+11,Paths!AB249+11)</f>
        <v>0</v>
      </c>
      <c r="AA249" s="125">
        <f t="shared" si="9"/>
        <v>1</v>
      </c>
      <c r="AB249" s="125">
        <f t="shared" si="10"/>
        <v>7</v>
      </c>
      <c r="AC249" s="51" t="str">
        <f t="shared" si="11"/>
        <v>7, 1</v>
      </c>
    </row>
    <row r="250" spans="1:29" x14ac:dyDescent="0.3">
      <c r="A250" s="31"/>
      <c r="B250" s="32"/>
      <c r="C250" s="32"/>
      <c r="Z250" s="124" cm="1">
        <f t="array" ref="Z250">INDEX(Map!$B$2:$V$22,-Paths!AA250+11,Paths!AB250+11)</f>
        <v>0</v>
      </c>
      <c r="AA250" s="125">
        <f t="shared" si="9"/>
        <v>1</v>
      </c>
      <c r="AB250" s="125">
        <f t="shared" si="10"/>
        <v>8</v>
      </c>
      <c r="AC250" s="51" t="str">
        <f t="shared" si="11"/>
        <v>8, 1</v>
      </c>
    </row>
    <row r="251" spans="1:29" x14ac:dyDescent="0.3">
      <c r="A251" s="18"/>
      <c r="B251" s="18"/>
      <c r="C251" s="19"/>
      <c r="Z251" s="124" cm="1">
        <f t="array" ref="Z251">INDEX(Map!$B$2:$V$22,-Paths!AA251+11,Paths!AB251+11)</f>
        <v>0</v>
      </c>
      <c r="AA251" s="125">
        <f t="shared" si="9"/>
        <v>1</v>
      </c>
      <c r="AB251" s="125">
        <f t="shared" si="10"/>
        <v>9</v>
      </c>
      <c r="AC251" s="51" t="str">
        <f t="shared" si="11"/>
        <v>9, 1</v>
      </c>
    </row>
    <row r="252" spans="1:29" x14ac:dyDescent="0.3">
      <c r="A252" s="26"/>
      <c r="B252" s="26"/>
      <c r="C252" s="27"/>
      <c r="Z252" s="124" cm="1">
        <f t="array" ref="Z252">INDEX(Map!$B$2:$V$22,-Paths!AA252+11,Paths!AB252+11)</f>
        <v>0</v>
      </c>
      <c r="AA252" s="125">
        <f t="shared" si="9"/>
        <v>1</v>
      </c>
      <c r="AB252" s="125">
        <f t="shared" si="10"/>
        <v>10</v>
      </c>
      <c r="AC252" s="51" t="str">
        <f t="shared" si="11"/>
        <v>10, 1</v>
      </c>
    </row>
    <row r="253" spans="1:29" x14ac:dyDescent="0.3">
      <c r="A253" s="31"/>
      <c r="B253" s="32"/>
      <c r="C253" s="32"/>
      <c r="Z253" s="124" cm="1">
        <f t="array" ref="Z253">INDEX(Map!$B$2:$V$22,-Paths!AA253+11,Paths!AB253+11)</f>
        <v>0</v>
      </c>
      <c r="AA253" s="125">
        <f t="shared" si="9"/>
        <v>2</v>
      </c>
      <c r="AB253" s="125">
        <f t="shared" si="10"/>
        <v>-10</v>
      </c>
      <c r="AC253" s="51" t="str">
        <f t="shared" si="11"/>
        <v>-10, 2</v>
      </c>
    </row>
    <row r="254" spans="1:29" x14ac:dyDescent="0.3">
      <c r="A254" s="18"/>
      <c r="B254" s="18"/>
      <c r="C254" s="19"/>
      <c r="Z254" s="124" cm="1">
        <f t="array" ref="Z254">INDEX(Map!$B$2:$V$22,-Paths!AA254+11,Paths!AB254+11)</f>
        <v>0</v>
      </c>
      <c r="AA254" s="125">
        <f t="shared" si="9"/>
        <v>2</v>
      </c>
      <c r="AB254" s="125">
        <f t="shared" si="10"/>
        <v>-9</v>
      </c>
      <c r="AC254" s="51" t="str">
        <f t="shared" si="11"/>
        <v>-9, 2</v>
      </c>
    </row>
    <row r="255" spans="1:29" x14ac:dyDescent="0.3">
      <c r="A255" s="26"/>
      <c r="B255" s="26"/>
      <c r="C255" s="27"/>
      <c r="Z255" s="124" cm="1">
        <f t="array" ref="Z255">INDEX(Map!$B$2:$V$22,-Paths!AA255+11,Paths!AB255+11)</f>
        <v>0</v>
      </c>
      <c r="AA255" s="125">
        <f t="shared" si="9"/>
        <v>2</v>
      </c>
      <c r="AB255" s="125">
        <f t="shared" si="10"/>
        <v>-8</v>
      </c>
      <c r="AC255" s="51" t="str">
        <f t="shared" si="11"/>
        <v>-8, 2</v>
      </c>
    </row>
    <row r="256" spans="1:29" x14ac:dyDescent="0.3">
      <c r="A256" s="31"/>
      <c r="B256" s="32"/>
      <c r="C256" s="32"/>
      <c r="Z256" s="124" cm="1">
        <f t="array" ref="Z256">INDEX(Map!$B$2:$V$22,-Paths!AA256+11,Paths!AB256+11)</f>
        <v>0</v>
      </c>
      <c r="AA256" s="125">
        <f t="shared" si="9"/>
        <v>2</v>
      </c>
      <c r="AB256" s="125">
        <f t="shared" si="10"/>
        <v>-7</v>
      </c>
      <c r="AC256" s="51" t="str">
        <f t="shared" si="11"/>
        <v>-7, 2</v>
      </c>
    </row>
    <row r="257" spans="1:29" x14ac:dyDescent="0.3">
      <c r="A257" s="18"/>
      <c r="B257" s="18"/>
      <c r="C257" s="19"/>
      <c r="Z257" s="124" cm="1">
        <f t="array" ref="Z257">INDEX(Map!$B$2:$V$22,-Paths!AA257+11,Paths!AB257+11)</f>
        <v>0</v>
      </c>
      <c r="AA257" s="125">
        <f t="shared" ref="AA257:AA320" si="12">QUOTIENT(ROW(AB257)-1,21)-10</f>
        <v>2</v>
      </c>
      <c r="AB257" s="125">
        <f t="shared" ref="AB257:AB320" si="13">MOD(ROW(AB257)-1,21)-10</f>
        <v>-6</v>
      </c>
      <c r="AC257" s="51" t="str">
        <f t="shared" si="11"/>
        <v>-6, 2</v>
      </c>
    </row>
    <row r="258" spans="1:29" x14ac:dyDescent="0.3">
      <c r="A258" s="26"/>
      <c r="B258" s="26"/>
      <c r="C258" s="27"/>
      <c r="Z258" s="124" cm="1">
        <f t="array" ref="Z258">INDEX(Map!$B$2:$V$22,-Paths!AA258+11,Paths!AB258+11)</f>
        <v>0</v>
      </c>
      <c r="AA258" s="125">
        <f t="shared" si="12"/>
        <v>2</v>
      </c>
      <c r="AB258" s="125">
        <f t="shared" si="13"/>
        <v>-5</v>
      </c>
      <c r="AC258" s="51" t="str">
        <f t="shared" ref="AC258:AC321" si="14">AB258&amp;", "&amp;AA258</f>
        <v>-5, 2</v>
      </c>
    </row>
    <row r="259" spans="1:29" x14ac:dyDescent="0.3">
      <c r="A259" s="31"/>
      <c r="B259" s="32"/>
      <c r="C259" s="32"/>
      <c r="Z259" s="124" cm="1">
        <f t="array" ref="Z259">INDEX(Map!$B$2:$V$22,-Paths!AA259+11,Paths!AB259+11)</f>
        <v>0</v>
      </c>
      <c r="AA259" s="125">
        <f t="shared" si="12"/>
        <v>2</v>
      </c>
      <c r="AB259" s="125">
        <f t="shared" si="13"/>
        <v>-4</v>
      </c>
      <c r="AC259" s="51" t="str">
        <f t="shared" si="14"/>
        <v>-4, 2</v>
      </c>
    </row>
    <row r="260" spans="1:29" x14ac:dyDescent="0.3">
      <c r="A260" s="18"/>
      <c r="B260" s="18"/>
      <c r="C260" s="19"/>
      <c r="Z260" s="124" cm="1">
        <f t="array" ref="Z260">INDEX(Map!$B$2:$V$22,-Paths!AA260+11,Paths!AB260+11)</f>
        <v>0</v>
      </c>
      <c r="AA260" s="125">
        <f t="shared" si="12"/>
        <v>2</v>
      </c>
      <c r="AB260" s="125">
        <f t="shared" si="13"/>
        <v>-3</v>
      </c>
      <c r="AC260" s="51" t="str">
        <f t="shared" si="14"/>
        <v>-3, 2</v>
      </c>
    </row>
    <row r="261" spans="1:29" x14ac:dyDescent="0.3">
      <c r="A261" s="26"/>
      <c r="B261" s="26"/>
      <c r="C261" s="27"/>
      <c r="Z261" s="124" cm="1">
        <f t="array" ref="Z261">INDEX(Map!$B$2:$V$22,-Paths!AA261+11,Paths!AB261+11)</f>
        <v>0</v>
      </c>
      <c r="AA261" s="125">
        <f t="shared" si="12"/>
        <v>2</v>
      </c>
      <c r="AB261" s="125">
        <f t="shared" si="13"/>
        <v>-2</v>
      </c>
      <c r="AC261" s="51" t="str">
        <f t="shared" si="14"/>
        <v>-2, 2</v>
      </c>
    </row>
    <row r="262" spans="1:29" x14ac:dyDescent="0.3">
      <c r="A262" s="31"/>
      <c r="B262" s="32"/>
      <c r="C262" s="32"/>
      <c r="Z262" s="124" cm="1">
        <f t="array" ref="Z262">INDEX(Map!$B$2:$V$22,-Paths!AA262+11,Paths!AB262+11)</f>
        <v>0</v>
      </c>
      <c r="AA262" s="125">
        <f t="shared" si="12"/>
        <v>2</v>
      </c>
      <c r="AB262" s="125">
        <f t="shared" si="13"/>
        <v>-1</v>
      </c>
      <c r="AC262" s="51" t="str">
        <f t="shared" si="14"/>
        <v>-1, 2</v>
      </c>
    </row>
    <row r="263" spans="1:29" x14ac:dyDescent="0.3">
      <c r="A263" s="18"/>
      <c r="B263" s="18"/>
      <c r="C263" s="19"/>
      <c r="Z263" s="124" cm="1">
        <f t="array" ref="Z263">INDEX(Map!$B$2:$V$22,-Paths!AA263+11,Paths!AB263+11)</f>
        <v>0</v>
      </c>
      <c r="AA263" s="125">
        <f t="shared" si="12"/>
        <v>2</v>
      </c>
      <c r="AB263" s="125">
        <f t="shared" si="13"/>
        <v>0</v>
      </c>
      <c r="AC263" s="51" t="str">
        <f t="shared" si="14"/>
        <v>0, 2</v>
      </c>
    </row>
    <row r="264" spans="1:29" x14ac:dyDescent="0.3">
      <c r="A264" s="26"/>
      <c r="B264" s="26"/>
      <c r="C264" s="27"/>
      <c r="Z264" s="124" t="str" cm="1">
        <f t="array" ref="Z264">INDEX(Map!$B$2:$V$22,-Paths!AA264+11,Paths!AB264+11)</f>
        <v>Feature2</v>
      </c>
      <c r="AA264" s="125">
        <f t="shared" si="12"/>
        <v>2</v>
      </c>
      <c r="AB264" s="125">
        <f t="shared" si="13"/>
        <v>1</v>
      </c>
      <c r="AC264" s="51" t="str">
        <f t="shared" si="14"/>
        <v>1, 2</v>
      </c>
    </row>
    <row r="265" spans="1:29" x14ac:dyDescent="0.3">
      <c r="A265" s="31"/>
      <c r="B265" s="32"/>
      <c r="C265" s="32"/>
      <c r="Z265" s="124" cm="1">
        <f t="array" ref="Z265">INDEX(Map!$B$2:$V$22,-Paths!AA265+11,Paths!AB265+11)</f>
        <v>0</v>
      </c>
      <c r="AA265" s="125">
        <f t="shared" si="12"/>
        <v>2</v>
      </c>
      <c r="AB265" s="125">
        <f t="shared" si="13"/>
        <v>2</v>
      </c>
      <c r="AC265" s="51" t="str">
        <f t="shared" si="14"/>
        <v>2, 2</v>
      </c>
    </row>
    <row r="266" spans="1:29" x14ac:dyDescent="0.3">
      <c r="A266" s="18"/>
      <c r="B266" s="18"/>
      <c r="C266" s="19"/>
      <c r="Z266" s="124" t="str" cm="1">
        <f t="array" ref="Z266">INDEX(Map!$B$2:$V$22,-Paths!AA266+11,Paths!AB266+11)</f>
        <v>Benefit2</v>
      </c>
      <c r="AA266" s="125">
        <f t="shared" si="12"/>
        <v>2</v>
      </c>
      <c r="AB266" s="125">
        <f t="shared" si="13"/>
        <v>3</v>
      </c>
      <c r="AC266" s="51" t="str">
        <f t="shared" si="14"/>
        <v>3, 2</v>
      </c>
    </row>
    <row r="267" spans="1:29" x14ac:dyDescent="0.3">
      <c r="A267" s="26"/>
      <c r="B267" s="26"/>
      <c r="C267" s="27"/>
      <c r="Z267" s="124" cm="1">
        <f t="array" ref="Z267">INDEX(Map!$B$2:$V$22,-Paths!AA267+11,Paths!AB267+11)</f>
        <v>0</v>
      </c>
      <c r="AA267" s="125">
        <f t="shared" si="12"/>
        <v>2</v>
      </c>
      <c r="AB267" s="125">
        <f t="shared" si="13"/>
        <v>4</v>
      </c>
      <c r="AC267" s="51" t="str">
        <f t="shared" si="14"/>
        <v>4, 2</v>
      </c>
    </row>
    <row r="268" spans="1:29" x14ac:dyDescent="0.3">
      <c r="A268" s="31"/>
      <c r="B268" s="32"/>
      <c r="C268" s="32"/>
      <c r="Z268" s="124" cm="1">
        <f t="array" ref="Z268">INDEX(Map!$B$2:$V$22,-Paths!AA268+11,Paths!AB268+11)</f>
        <v>0</v>
      </c>
      <c r="AA268" s="125">
        <f t="shared" si="12"/>
        <v>2</v>
      </c>
      <c r="AB268" s="125">
        <f t="shared" si="13"/>
        <v>5</v>
      </c>
      <c r="AC268" s="51" t="str">
        <f t="shared" si="14"/>
        <v>5, 2</v>
      </c>
    </row>
    <row r="269" spans="1:29" x14ac:dyDescent="0.3">
      <c r="A269" s="18"/>
      <c r="B269" s="18"/>
      <c r="C269" s="19"/>
      <c r="Z269" s="124" cm="1">
        <f t="array" ref="Z269">INDEX(Map!$B$2:$V$22,-Paths!AA269+11,Paths!AB269+11)</f>
        <v>0</v>
      </c>
      <c r="AA269" s="125">
        <f t="shared" si="12"/>
        <v>2</v>
      </c>
      <c r="AB269" s="125">
        <f t="shared" si="13"/>
        <v>6</v>
      </c>
      <c r="AC269" s="51" t="str">
        <f t="shared" si="14"/>
        <v>6, 2</v>
      </c>
    </row>
    <row r="270" spans="1:29" x14ac:dyDescent="0.3">
      <c r="A270" s="26"/>
      <c r="B270" s="26"/>
      <c r="C270" s="27"/>
      <c r="Z270" s="124" cm="1">
        <f t="array" ref="Z270">INDEX(Map!$B$2:$V$22,-Paths!AA270+11,Paths!AB270+11)</f>
        <v>0</v>
      </c>
      <c r="AA270" s="125">
        <f t="shared" si="12"/>
        <v>2</v>
      </c>
      <c r="AB270" s="125">
        <f t="shared" si="13"/>
        <v>7</v>
      </c>
      <c r="AC270" s="51" t="str">
        <f t="shared" si="14"/>
        <v>7, 2</v>
      </c>
    </row>
    <row r="271" spans="1:29" x14ac:dyDescent="0.3">
      <c r="A271" s="31"/>
      <c r="B271" s="32"/>
      <c r="C271" s="32"/>
      <c r="Z271" s="124" cm="1">
        <f t="array" ref="Z271">INDEX(Map!$B$2:$V$22,-Paths!AA271+11,Paths!AB271+11)</f>
        <v>0</v>
      </c>
      <c r="AA271" s="125">
        <f t="shared" si="12"/>
        <v>2</v>
      </c>
      <c r="AB271" s="125">
        <f t="shared" si="13"/>
        <v>8</v>
      </c>
      <c r="AC271" s="51" t="str">
        <f t="shared" si="14"/>
        <v>8, 2</v>
      </c>
    </row>
    <row r="272" spans="1:29" x14ac:dyDescent="0.3">
      <c r="A272" s="18"/>
      <c r="B272" s="18"/>
      <c r="C272" s="19"/>
      <c r="Z272" s="124" cm="1">
        <f t="array" ref="Z272">INDEX(Map!$B$2:$V$22,-Paths!AA272+11,Paths!AB272+11)</f>
        <v>0</v>
      </c>
      <c r="AA272" s="125">
        <f t="shared" si="12"/>
        <v>2</v>
      </c>
      <c r="AB272" s="125">
        <f t="shared" si="13"/>
        <v>9</v>
      </c>
      <c r="AC272" s="51" t="str">
        <f t="shared" si="14"/>
        <v>9, 2</v>
      </c>
    </row>
    <row r="273" spans="1:29" x14ac:dyDescent="0.3">
      <c r="A273" s="26"/>
      <c r="B273" s="26"/>
      <c r="C273" s="27"/>
      <c r="Z273" s="124" cm="1">
        <f t="array" ref="Z273">INDEX(Map!$B$2:$V$22,-Paths!AA273+11,Paths!AB273+11)</f>
        <v>0</v>
      </c>
      <c r="AA273" s="125">
        <f t="shared" si="12"/>
        <v>2</v>
      </c>
      <c r="AB273" s="125">
        <f t="shared" si="13"/>
        <v>10</v>
      </c>
      <c r="AC273" s="51" t="str">
        <f t="shared" si="14"/>
        <v>10, 2</v>
      </c>
    </row>
    <row r="274" spans="1:29" x14ac:dyDescent="0.3">
      <c r="A274" s="31"/>
      <c r="B274" s="32"/>
      <c r="C274" s="32"/>
      <c r="Z274" s="124" cm="1">
        <f t="array" ref="Z274">INDEX(Map!$B$2:$V$22,-Paths!AA274+11,Paths!AB274+11)</f>
        <v>0</v>
      </c>
      <c r="AA274" s="125">
        <f t="shared" si="12"/>
        <v>3</v>
      </c>
      <c r="AB274" s="125">
        <f t="shared" si="13"/>
        <v>-10</v>
      </c>
      <c r="AC274" s="51" t="str">
        <f t="shared" si="14"/>
        <v>-10, 3</v>
      </c>
    </row>
    <row r="275" spans="1:29" x14ac:dyDescent="0.3">
      <c r="A275" s="18"/>
      <c r="B275" s="18"/>
      <c r="C275" s="19"/>
      <c r="Z275" s="124" cm="1">
        <f t="array" ref="Z275">INDEX(Map!$B$2:$V$22,-Paths!AA275+11,Paths!AB275+11)</f>
        <v>0</v>
      </c>
      <c r="AA275" s="125">
        <f t="shared" si="12"/>
        <v>3</v>
      </c>
      <c r="AB275" s="125">
        <f t="shared" si="13"/>
        <v>-9</v>
      </c>
      <c r="AC275" s="51" t="str">
        <f t="shared" si="14"/>
        <v>-9, 3</v>
      </c>
    </row>
    <row r="276" spans="1:29" x14ac:dyDescent="0.3">
      <c r="A276" s="26"/>
      <c r="B276" s="26"/>
      <c r="C276" s="27"/>
      <c r="Z276" s="124" cm="1">
        <f t="array" ref="Z276">INDEX(Map!$B$2:$V$22,-Paths!AA276+11,Paths!AB276+11)</f>
        <v>0</v>
      </c>
      <c r="AA276" s="125">
        <f t="shared" si="12"/>
        <v>3</v>
      </c>
      <c r="AB276" s="125">
        <f t="shared" si="13"/>
        <v>-8</v>
      </c>
      <c r="AC276" s="51" t="str">
        <f t="shared" si="14"/>
        <v>-8, 3</v>
      </c>
    </row>
    <row r="277" spans="1:29" x14ac:dyDescent="0.3">
      <c r="A277" s="31"/>
      <c r="B277" s="32"/>
      <c r="C277" s="32"/>
      <c r="Z277" s="124" cm="1">
        <f t="array" ref="Z277">INDEX(Map!$B$2:$V$22,-Paths!AA277+11,Paths!AB277+11)</f>
        <v>0</v>
      </c>
      <c r="AA277" s="125">
        <f t="shared" si="12"/>
        <v>3</v>
      </c>
      <c r="AB277" s="125">
        <f t="shared" si="13"/>
        <v>-7</v>
      </c>
      <c r="AC277" s="51" t="str">
        <f t="shared" si="14"/>
        <v>-7, 3</v>
      </c>
    </row>
    <row r="278" spans="1:29" x14ac:dyDescent="0.3">
      <c r="A278" s="18"/>
      <c r="B278" s="18"/>
      <c r="C278" s="19"/>
      <c r="Z278" s="124" cm="1">
        <f t="array" ref="Z278">INDEX(Map!$B$2:$V$22,-Paths!AA278+11,Paths!AB278+11)</f>
        <v>0</v>
      </c>
      <c r="AA278" s="125">
        <f t="shared" si="12"/>
        <v>3</v>
      </c>
      <c r="AB278" s="125">
        <f t="shared" si="13"/>
        <v>-6</v>
      </c>
      <c r="AC278" s="51" t="str">
        <f t="shared" si="14"/>
        <v>-6, 3</v>
      </c>
    </row>
    <row r="279" spans="1:29" x14ac:dyDescent="0.3">
      <c r="A279" s="26"/>
      <c r="B279" s="26"/>
      <c r="C279" s="27"/>
      <c r="Z279" s="124" cm="1">
        <f t="array" ref="Z279">INDEX(Map!$B$2:$V$22,-Paths!AA279+11,Paths!AB279+11)</f>
        <v>0</v>
      </c>
      <c r="AA279" s="125">
        <f t="shared" si="12"/>
        <v>3</v>
      </c>
      <c r="AB279" s="125">
        <f t="shared" si="13"/>
        <v>-5</v>
      </c>
      <c r="AC279" s="51" t="str">
        <f t="shared" si="14"/>
        <v>-5, 3</v>
      </c>
    </row>
    <row r="280" spans="1:29" x14ac:dyDescent="0.3">
      <c r="A280" s="31"/>
      <c r="B280" s="32"/>
      <c r="C280" s="32"/>
      <c r="Z280" s="124" cm="1">
        <f t="array" ref="Z280">INDEX(Map!$B$2:$V$22,-Paths!AA280+11,Paths!AB280+11)</f>
        <v>0</v>
      </c>
      <c r="AA280" s="125">
        <f t="shared" si="12"/>
        <v>3</v>
      </c>
      <c r="AB280" s="125">
        <f t="shared" si="13"/>
        <v>-4</v>
      </c>
      <c r="AC280" s="51" t="str">
        <f t="shared" si="14"/>
        <v>-4, 3</v>
      </c>
    </row>
    <row r="281" spans="1:29" x14ac:dyDescent="0.3">
      <c r="A281" s="18"/>
      <c r="B281" s="18"/>
      <c r="C281" s="19"/>
      <c r="Z281" s="124" cm="1">
        <f t="array" ref="Z281">INDEX(Map!$B$2:$V$22,-Paths!AA281+11,Paths!AB281+11)</f>
        <v>0</v>
      </c>
      <c r="AA281" s="125">
        <f t="shared" si="12"/>
        <v>3</v>
      </c>
      <c r="AB281" s="125">
        <f t="shared" si="13"/>
        <v>-3</v>
      </c>
      <c r="AC281" s="51" t="str">
        <f t="shared" si="14"/>
        <v>-3, 3</v>
      </c>
    </row>
    <row r="282" spans="1:29" x14ac:dyDescent="0.3">
      <c r="A282" s="26"/>
      <c r="B282" s="26"/>
      <c r="C282" s="27"/>
      <c r="Z282" s="124" cm="1">
        <f t="array" ref="Z282">INDEX(Map!$B$2:$V$22,-Paths!AA282+11,Paths!AB282+11)</f>
        <v>0</v>
      </c>
      <c r="AA282" s="125">
        <f t="shared" si="12"/>
        <v>3</v>
      </c>
      <c r="AB282" s="125">
        <f t="shared" si="13"/>
        <v>-2</v>
      </c>
      <c r="AC282" s="51" t="str">
        <f t="shared" si="14"/>
        <v>-2, 3</v>
      </c>
    </row>
    <row r="283" spans="1:29" x14ac:dyDescent="0.3">
      <c r="A283" s="31"/>
      <c r="B283" s="32"/>
      <c r="C283" s="32"/>
      <c r="Z283" s="124" cm="1">
        <f t="array" ref="Z283">INDEX(Map!$B$2:$V$22,-Paths!AA283+11,Paths!AB283+11)</f>
        <v>0</v>
      </c>
      <c r="AA283" s="125">
        <f t="shared" si="12"/>
        <v>3</v>
      </c>
      <c r="AB283" s="125">
        <f t="shared" si="13"/>
        <v>-1</v>
      </c>
      <c r="AC283" s="51" t="str">
        <f t="shared" si="14"/>
        <v>-1, 3</v>
      </c>
    </row>
    <row r="284" spans="1:29" x14ac:dyDescent="0.3">
      <c r="A284" s="18"/>
      <c r="B284" s="18"/>
      <c r="C284" s="19"/>
      <c r="Z284" s="124" cm="1">
        <f t="array" ref="Z284">INDEX(Map!$B$2:$V$22,-Paths!AA284+11,Paths!AB284+11)</f>
        <v>0</v>
      </c>
      <c r="AA284" s="125">
        <f t="shared" si="12"/>
        <v>3</v>
      </c>
      <c r="AB284" s="125">
        <f t="shared" si="13"/>
        <v>0</v>
      </c>
      <c r="AC284" s="51" t="str">
        <f t="shared" si="14"/>
        <v>0, 3</v>
      </c>
    </row>
    <row r="285" spans="1:29" x14ac:dyDescent="0.3">
      <c r="A285" s="26"/>
      <c r="B285" s="26"/>
      <c r="C285" s="27"/>
      <c r="Z285" s="124" t="str" cm="1">
        <f t="array" ref="Z285">INDEX(Map!$B$2:$V$22,-Paths!AA285+11,Paths!AB285+11)</f>
        <v>Feature3</v>
      </c>
      <c r="AA285" s="125">
        <f t="shared" si="12"/>
        <v>3</v>
      </c>
      <c r="AB285" s="125">
        <f t="shared" si="13"/>
        <v>1</v>
      </c>
      <c r="AC285" s="51" t="str">
        <f t="shared" si="14"/>
        <v>1, 3</v>
      </c>
    </row>
    <row r="286" spans="1:29" x14ac:dyDescent="0.3">
      <c r="A286" s="31"/>
      <c r="B286" s="32"/>
      <c r="C286" s="32"/>
      <c r="Z286" s="124" cm="1">
        <f t="array" ref="Z286">INDEX(Map!$B$2:$V$22,-Paths!AA286+11,Paths!AB286+11)</f>
        <v>0</v>
      </c>
      <c r="AA286" s="125">
        <f t="shared" si="12"/>
        <v>3</v>
      </c>
      <c r="AB286" s="125">
        <f t="shared" si="13"/>
        <v>2</v>
      </c>
      <c r="AC286" s="51" t="str">
        <f t="shared" si="14"/>
        <v>2, 3</v>
      </c>
    </row>
    <row r="287" spans="1:29" x14ac:dyDescent="0.3">
      <c r="A287" s="18"/>
      <c r="B287" s="18"/>
      <c r="C287" s="19"/>
      <c r="Z287" s="124" t="str" cm="1">
        <f t="array" ref="Z287">INDEX(Map!$B$2:$V$22,-Paths!AA287+11,Paths!AB287+11)</f>
        <v>Benefit3</v>
      </c>
      <c r="AA287" s="125">
        <f t="shared" si="12"/>
        <v>3</v>
      </c>
      <c r="AB287" s="125">
        <f t="shared" si="13"/>
        <v>3</v>
      </c>
      <c r="AC287" s="51" t="str">
        <f t="shared" si="14"/>
        <v>3, 3</v>
      </c>
    </row>
    <row r="288" spans="1:29" x14ac:dyDescent="0.3">
      <c r="A288" s="26"/>
      <c r="B288" s="26"/>
      <c r="C288" s="27"/>
      <c r="Z288" s="124" cm="1">
        <f t="array" ref="Z288">INDEX(Map!$B$2:$V$22,-Paths!AA288+11,Paths!AB288+11)</f>
        <v>0</v>
      </c>
      <c r="AA288" s="125">
        <f t="shared" si="12"/>
        <v>3</v>
      </c>
      <c r="AB288" s="125">
        <f t="shared" si="13"/>
        <v>4</v>
      </c>
      <c r="AC288" s="51" t="str">
        <f t="shared" si="14"/>
        <v>4, 3</v>
      </c>
    </row>
    <row r="289" spans="1:29" x14ac:dyDescent="0.3">
      <c r="A289" s="31"/>
      <c r="B289" s="32"/>
      <c r="C289" s="32"/>
      <c r="Z289" s="124" cm="1">
        <f t="array" ref="Z289">INDEX(Map!$B$2:$V$22,-Paths!AA289+11,Paths!AB289+11)</f>
        <v>0</v>
      </c>
      <c r="AA289" s="125">
        <f t="shared" si="12"/>
        <v>3</v>
      </c>
      <c r="AB289" s="125">
        <f t="shared" si="13"/>
        <v>5</v>
      </c>
      <c r="AC289" s="51" t="str">
        <f t="shared" si="14"/>
        <v>5, 3</v>
      </c>
    </row>
    <row r="290" spans="1:29" x14ac:dyDescent="0.3">
      <c r="A290" s="18"/>
      <c r="B290" s="18"/>
      <c r="C290" s="19"/>
      <c r="Z290" s="124" cm="1">
        <f t="array" ref="Z290">INDEX(Map!$B$2:$V$22,-Paths!AA290+11,Paths!AB290+11)</f>
        <v>0</v>
      </c>
      <c r="AA290" s="125">
        <f t="shared" si="12"/>
        <v>3</v>
      </c>
      <c r="AB290" s="125">
        <f t="shared" si="13"/>
        <v>6</v>
      </c>
      <c r="AC290" s="51" t="str">
        <f t="shared" si="14"/>
        <v>6, 3</v>
      </c>
    </row>
    <row r="291" spans="1:29" x14ac:dyDescent="0.3">
      <c r="A291" s="26"/>
      <c r="B291" s="26"/>
      <c r="C291" s="27"/>
      <c r="Z291" s="124" cm="1">
        <f t="array" ref="Z291">INDEX(Map!$B$2:$V$22,-Paths!AA291+11,Paths!AB291+11)</f>
        <v>0</v>
      </c>
      <c r="AA291" s="125">
        <f t="shared" si="12"/>
        <v>3</v>
      </c>
      <c r="AB291" s="125">
        <f t="shared" si="13"/>
        <v>7</v>
      </c>
      <c r="AC291" s="51" t="str">
        <f t="shared" si="14"/>
        <v>7, 3</v>
      </c>
    </row>
    <row r="292" spans="1:29" x14ac:dyDescent="0.3">
      <c r="A292" s="31"/>
      <c r="B292" s="32"/>
      <c r="C292" s="32"/>
      <c r="Z292" s="124" cm="1">
        <f t="array" ref="Z292">INDEX(Map!$B$2:$V$22,-Paths!AA292+11,Paths!AB292+11)</f>
        <v>0</v>
      </c>
      <c r="AA292" s="125">
        <f t="shared" si="12"/>
        <v>3</v>
      </c>
      <c r="AB292" s="125">
        <f t="shared" si="13"/>
        <v>8</v>
      </c>
      <c r="AC292" s="51" t="str">
        <f t="shared" si="14"/>
        <v>8, 3</v>
      </c>
    </row>
    <row r="293" spans="1:29" x14ac:dyDescent="0.3">
      <c r="A293" s="18"/>
      <c r="B293" s="18"/>
      <c r="C293" s="19"/>
      <c r="Z293" s="124" cm="1">
        <f t="array" ref="Z293">INDEX(Map!$B$2:$V$22,-Paths!AA293+11,Paths!AB293+11)</f>
        <v>0</v>
      </c>
      <c r="AA293" s="125">
        <f t="shared" si="12"/>
        <v>3</v>
      </c>
      <c r="AB293" s="125">
        <f t="shared" si="13"/>
        <v>9</v>
      </c>
      <c r="AC293" s="51" t="str">
        <f t="shared" si="14"/>
        <v>9, 3</v>
      </c>
    </row>
    <row r="294" spans="1:29" x14ac:dyDescent="0.3">
      <c r="A294" s="26"/>
      <c r="B294" s="26"/>
      <c r="C294" s="27"/>
      <c r="Z294" s="124" cm="1">
        <f t="array" ref="Z294">INDEX(Map!$B$2:$V$22,-Paths!AA294+11,Paths!AB294+11)</f>
        <v>0</v>
      </c>
      <c r="AA294" s="125">
        <f t="shared" si="12"/>
        <v>3</v>
      </c>
      <c r="AB294" s="125">
        <f t="shared" si="13"/>
        <v>10</v>
      </c>
      <c r="AC294" s="51" t="str">
        <f t="shared" si="14"/>
        <v>10, 3</v>
      </c>
    </row>
    <row r="295" spans="1:29" x14ac:dyDescent="0.3">
      <c r="A295" s="31"/>
      <c r="B295" s="32"/>
      <c r="C295" s="32"/>
      <c r="Z295" s="124" cm="1">
        <f t="array" ref="Z295">INDEX(Map!$B$2:$V$22,-Paths!AA295+11,Paths!AB295+11)</f>
        <v>0</v>
      </c>
      <c r="AA295" s="125">
        <f t="shared" si="12"/>
        <v>4</v>
      </c>
      <c r="AB295" s="125">
        <f t="shared" si="13"/>
        <v>-10</v>
      </c>
      <c r="AC295" s="51" t="str">
        <f t="shared" si="14"/>
        <v>-10, 4</v>
      </c>
    </row>
    <row r="296" spans="1:29" x14ac:dyDescent="0.3">
      <c r="A296" s="18"/>
      <c r="B296" s="18"/>
      <c r="C296" s="19"/>
      <c r="Z296" s="124" cm="1">
        <f t="array" ref="Z296">INDEX(Map!$B$2:$V$22,-Paths!AA296+11,Paths!AB296+11)</f>
        <v>0</v>
      </c>
      <c r="AA296" s="125">
        <f t="shared" si="12"/>
        <v>4</v>
      </c>
      <c r="AB296" s="125">
        <f t="shared" si="13"/>
        <v>-9</v>
      </c>
      <c r="AC296" s="51" t="str">
        <f t="shared" si="14"/>
        <v>-9, 4</v>
      </c>
    </row>
    <row r="297" spans="1:29" x14ac:dyDescent="0.3">
      <c r="A297" s="26"/>
      <c r="B297" s="26"/>
      <c r="C297" s="27"/>
      <c r="Z297" s="124" cm="1">
        <f t="array" ref="Z297">INDEX(Map!$B$2:$V$22,-Paths!AA297+11,Paths!AB297+11)</f>
        <v>0</v>
      </c>
      <c r="AA297" s="125">
        <f t="shared" si="12"/>
        <v>4</v>
      </c>
      <c r="AB297" s="125">
        <f t="shared" si="13"/>
        <v>-8</v>
      </c>
      <c r="AC297" s="51" t="str">
        <f t="shared" si="14"/>
        <v>-8, 4</v>
      </c>
    </row>
    <row r="298" spans="1:29" x14ac:dyDescent="0.3">
      <c r="A298" s="31"/>
      <c r="B298" s="32"/>
      <c r="C298" s="32"/>
      <c r="Z298" s="124" cm="1">
        <f t="array" ref="Z298">INDEX(Map!$B$2:$V$22,-Paths!AA298+11,Paths!AB298+11)</f>
        <v>0</v>
      </c>
      <c r="AA298" s="125">
        <f t="shared" si="12"/>
        <v>4</v>
      </c>
      <c r="AB298" s="125">
        <f t="shared" si="13"/>
        <v>-7</v>
      </c>
      <c r="AC298" s="51" t="str">
        <f t="shared" si="14"/>
        <v>-7, 4</v>
      </c>
    </row>
    <row r="299" spans="1:29" x14ac:dyDescent="0.3">
      <c r="A299" s="18"/>
      <c r="B299" s="18"/>
      <c r="C299" s="19"/>
      <c r="E299" s="33"/>
      <c r="Z299" s="124" cm="1">
        <f t="array" ref="Z299">INDEX(Map!$B$2:$V$22,-Paths!AA299+11,Paths!AB299+11)</f>
        <v>0</v>
      </c>
      <c r="AA299" s="125">
        <f t="shared" si="12"/>
        <v>4</v>
      </c>
      <c r="AB299" s="125">
        <f t="shared" si="13"/>
        <v>-6</v>
      </c>
      <c r="AC299" s="51" t="str">
        <f t="shared" si="14"/>
        <v>-6, 4</v>
      </c>
    </row>
    <row r="300" spans="1:29" x14ac:dyDescent="0.3">
      <c r="A300" s="26"/>
      <c r="B300" s="26"/>
      <c r="C300" s="27"/>
      <c r="Z300" s="124" cm="1">
        <f t="array" ref="Z300">INDEX(Map!$B$2:$V$22,-Paths!AA300+11,Paths!AB300+11)</f>
        <v>0</v>
      </c>
      <c r="AA300" s="125">
        <f t="shared" si="12"/>
        <v>4</v>
      </c>
      <c r="AB300" s="125">
        <f t="shared" si="13"/>
        <v>-5</v>
      </c>
      <c r="AC300" s="51" t="str">
        <f t="shared" si="14"/>
        <v>-5, 4</v>
      </c>
    </row>
    <row r="301" spans="1:29" ht="15" thickBot="1" x14ac:dyDescent="0.35">
      <c r="A301" s="31"/>
      <c r="B301" s="32"/>
      <c r="C301" s="32"/>
      <c r="Z301" s="124" cm="1">
        <f t="array" ref="Z301">INDEX(Map!$B$2:$V$22,-Paths!AA301+11,Paths!AB301+11)</f>
        <v>0</v>
      </c>
      <c r="AA301" s="125">
        <f t="shared" si="12"/>
        <v>4</v>
      </c>
      <c r="AB301" s="125">
        <f t="shared" si="13"/>
        <v>-4</v>
      </c>
      <c r="AC301" s="51" t="str">
        <f t="shared" si="14"/>
        <v>-4, 4</v>
      </c>
    </row>
    <row r="302" spans="1:29" ht="14.4" customHeight="1" x14ac:dyDescent="0.3">
      <c r="A302" s="18"/>
      <c r="B302" s="18"/>
      <c r="C302" s="64"/>
      <c r="D302" s="185"/>
      <c r="Z302" s="124" cm="1">
        <f t="array" ref="Z302">INDEX(Map!$B$2:$V$22,-Paths!AA302+11,Paths!AB302+11)</f>
        <v>0</v>
      </c>
      <c r="AA302" s="125">
        <f t="shared" si="12"/>
        <v>4</v>
      </c>
      <c r="AB302" s="125">
        <f t="shared" si="13"/>
        <v>-3</v>
      </c>
      <c r="AC302" s="51" t="str">
        <f t="shared" si="14"/>
        <v>-3, 4</v>
      </c>
    </row>
    <row r="303" spans="1:29" x14ac:dyDescent="0.3">
      <c r="A303" s="26"/>
      <c r="B303" s="26"/>
      <c r="C303" s="65"/>
      <c r="D303" s="186"/>
      <c r="Z303" s="124" cm="1">
        <f t="array" ref="Z303">INDEX(Map!$B$2:$V$22,-Paths!AA303+11,Paths!AB303+11)</f>
        <v>0</v>
      </c>
      <c r="AA303" s="125">
        <f t="shared" si="12"/>
        <v>4</v>
      </c>
      <c r="AB303" s="125">
        <f t="shared" si="13"/>
        <v>-2</v>
      </c>
      <c r="AC303" s="51" t="str">
        <f t="shared" si="14"/>
        <v>-2, 4</v>
      </c>
    </row>
    <row r="304" spans="1:29" ht="15" thickBot="1" x14ac:dyDescent="0.35">
      <c r="A304" s="54"/>
      <c r="B304" s="55"/>
      <c r="C304" s="67"/>
      <c r="D304" s="187"/>
      <c r="Z304" s="124" cm="1">
        <f t="array" ref="Z304">INDEX(Map!$B$2:$V$22,-Paths!AA304+11,Paths!AB304+11)</f>
        <v>0</v>
      </c>
      <c r="AA304" s="125">
        <f t="shared" si="12"/>
        <v>4</v>
      </c>
      <c r="AB304" s="125">
        <f t="shared" si="13"/>
        <v>-1</v>
      </c>
      <c r="AC304" s="51" t="str">
        <f t="shared" si="14"/>
        <v>-1, 4</v>
      </c>
    </row>
    <row r="305" spans="1:29" x14ac:dyDescent="0.3">
      <c r="A305" s="56"/>
      <c r="B305" s="57"/>
      <c r="C305" s="58"/>
      <c r="Z305" s="124" cm="1">
        <f t="array" ref="Z305">INDEX(Map!$B$2:$V$22,-Paths!AA305+11,Paths!AB305+11)</f>
        <v>0</v>
      </c>
      <c r="AA305" s="125">
        <f t="shared" si="12"/>
        <v>4</v>
      </c>
      <c r="AB305" s="125">
        <f t="shared" si="13"/>
        <v>0</v>
      </c>
      <c r="AC305" s="51" t="str">
        <f t="shared" si="14"/>
        <v>0, 4</v>
      </c>
    </row>
    <row r="306" spans="1:29" x14ac:dyDescent="0.3">
      <c r="A306" s="59"/>
      <c r="B306" s="26"/>
      <c r="C306" s="60"/>
      <c r="Z306" s="124" t="str" cm="1">
        <f t="array" ref="Z306">INDEX(Map!$B$2:$V$22,-Paths!AA306+11,Paths!AB306+11)</f>
        <v>Feature4</v>
      </c>
      <c r="AA306" s="125">
        <f t="shared" si="12"/>
        <v>4</v>
      </c>
      <c r="AB306" s="125">
        <f t="shared" si="13"/>
        <v>1</v>
      </c>
      <c r="AC306" s="51" t="str">
        <f t="shared" si="14"/>
        <v>1, 4</v>
      </c>
    </row>
    <row r="307" spans="1:29" ht="15" thickBot="1" x14ac:dyDescent="0.35">
      <c r="A307" s="61"/>
      <c r="B307" s="62"/>
      <c r="C307" s="63"/>
      <c r="Z307" s="124" cm="1">
        <f t="array" ref="Z307">INDEX(Map!$B$2:$V$22,-Paths!AA307+11,Paths!AB307+11)</f>
        <v>0</v>
      </c>
      <c r="AA307" s="125">
        <f t="shared" si="12"/>
        <v>4</v>
      </c>
      <c r="AB307" s="125">
        <f t="shared" si="13"/>
        <v>2</v>
      </c>
      <c r="AC307" s="51" t="str">
        <f t="shared" si="14"/>
        <v>2, 4</v>
      </c>
    </row>
    <row r="308" spans="1:29" x14ac:dyDescent="0.3">
      <c r="A308" s="20"/>
      <c r="B308" s="20"/>
      <c r="C308" s="21"/>
      <c r="Z308" s="124" t="str" cm="1">
        <f t="array" ref="Z308">INDEX(Map!$B$2:$V$22,-Paths!AA308+11,Paths!AB308+11)</f>
        <v>Benefit4</v>
      </c>
      <c r="AA308" s="125">
        <f t="shared" si="12"/>
        <v>4</v>
      </c>
      <c r="AB308" s="125">
        <f t="shared" si="13"/>
        <v>3</v>
      </c>
      <c r="AC308" s="51" t="str">
        <f t="shared" si="14"/>
        <v>3, 4</v>
      </c>
    </row>
    <row r="309" spans="1:29" x14ac:dyDescent="0.3">
      <c r="A309" s="26"/>
      <c r="B309" s="26"/>
      <c r="C309" s="27"/>
      <c r="Z309" s="124" cm="1">
        <f t="array" ref="Z309">INDEX(Map!$B$2:$V$22,-Paths!AA309+11,Paths!AB309+11)</f>
        <v>0</v>
      </c>
      <c r="AA309" s="125">
        <f t="shared" si="12"/>
        <v>4</v>
      </c>
      <c r="AB309" s="125">
        <f t="shared" si="13"/>
        <v>4</v>
      </c>
      <c r="AC309" s="51" t="str">
        <f t="shared" si="14"/>
        <v>4, 4</v>
      </c>
    </row>
    <row r="310" spans="1:29" x14ac:dyDescent="0.3">
      <c r="A310" s="31"/>
      <c r="B310" s="32"/>
      <c r="C310" s="32"/>
      <c r="Z310" s="124" cm="1">
        <f t="array" ref="Z310">INDEX(Map!$B$2:$V$22,-Paths!AA310+11,Paths!AB310+11)</f>
        <v>0</v>
      </c>
      <c r="AA310" s="125">
        <f t="shared" si="12"/>
        <v>4</v>
      </c>
      <c r="AB310" s="125">
        <f t="shared" si="13"/>
        <v>5</v>
      </c>
      <c r="AC310" s="51" t="str">
        <f t="shared" si="14"/>
        <v>5, 4</v>
      </c>
    </row>
    <row r="311" spans="1:29" x14ac:dyDescent="0.3">
      <c r="A311" s="18"/>
      <c r="B311" s="18"/>
      <c r="C311" s="19"/>
      <c r="Z311" s="124" cm="1">
        <f t="array" ref="Z311">INDEX(Map!$B$2:$V$22,-Paths!AA311+11,Paths!AB311+11)</f>
        <v>0</v>
      </c>
      <c r="AA311" s="125">
        <f t="shared" si="12"/>
        <v>4</v>
      </c>
      <c r="AB311" s="125">
        <f t="shared" si="13"/>
        <v>6</v>
      </c>
      <c r="AC311" s="51" t="str">
        <f t="shared" si="14"/>
        <v>6, 4</v>
      </c>
    </row>
    <row r="312" spans="1:29" x14ac:dyDescent="0.3">
      <c r="A312" s="26"/>
      <c r="B312" s="26"/>
      <c r="C312" s="27"/>
      <c r="Z312" s="124" cm="1">
        <f t="array" ref="Z312">INDEX(Map!$B$2:$V$22,-Paths!AA312+11,Paths!AB312+11)</f>
        <v>0</v>
      </c>
      <c r="AA312" s="125">
        <f t="shared" si="12"/>
        <v>4</v>
      </c>
      <c r="AB312" s="125">
        <f t="shared" si="13"/>
        <v>7</v>
      </c>
      <c r="AC312" s="51" t="str">
        <f t="shared" si="14"/>
        <v>7, 4</v>
      </c>
    </row>
    <row r="313" spans="1:29" x14ac:dyDescent="0.3">
      <c r="A313" s="31"/>
      <c r="B313" s="32"/>
      <c r="C313" s="32"/>
      <c r="Z313" s="124" cm="1">
        <f t="array" ref="Z313">INDEX(Map!$B$2:$V$22,-Paths!AA313+11,Paths!AB313+11)</f>
        <v>0</v>
      </c>
      <c r="AA313" s="125">
        <f t="shared" si="12"/>
        <v>4</v>
      </c>
      <c r="AB313" s="125">
        <f t="shared" si="13"/>
        <v>8</v>
      </c>
      <c r="AC313" s="51" t="str">
        <f t="shared" si="14"/>
        <v>8, 4</v>
      </c>
    </row>
    <row r="314" spans="1:29" x14ac:dyDescent="0.3">
      <c r="A314" s="18"/>
      <c r="B314" s="18"/>
      <c r="C314" s="19"/>
      <c r="Z314" s="124" cm="1">
        <f t="array" ref="Z314">INDEX(Map!$B$2:$V$22,-Paths!AA314+11,Paths!AB314+11)</f>
        <v>0</v>
      </c>
      <c r="AA314" s="125">
        <f t="shared" si="12"/>
        <v>4</v>
      </c>
      <c r="AB314" s="125">
        <f t="shared" si="13"/>
        <v>9</v>
      </c>
      <c r="AC314" s="51" t="str">
        <f t="shared" si="14"/>
        <v>9, 4</v>
      </c>
    </row>
    <row r="315" spans="1:29" x14ac:dyDescent="0.3">
      <c r="A315" s="26"/>
      <c r="B315" s="26"/>
      <c r="C315" s="27"/>
      <c r="Z315" s="124" cm="1">
        <f t="array" ref="Z315">INDEX(Map!$B$2:$V$22,-Paths!AA315+11,Paths!AB315+11)</f>
        <v>0</v>
      </c>
      <c r="AA315" s="125">
        <f t="shared" si="12"/>
        <v>4</v>
      </c>
      <c r="AB315" s="125">
        <f t="shared" si="13"/>
        <v>10</v>
      </c>
      <c r="AC315" s="51" t="str">
        <f t="shared" si="14"/>
        <v>10, 4</v>
      </c>
    </row>
    <row r="316" spans="1:29" x14ac:dyDescent="0.3">
      <c r="A316" s="31"/>
      <c r="B316" s="32"/>
      <c r="C316" s="32"/>
      <c r="Z316" s="124" cm="1">
        <f t="array" ref="Z316">INDEX(Map!$B$2:$V$22,-Paths!AA316+11,Paths!AB316+11)</f>
        <v>0</v>
      </c>
      <c r="AA316" s="125">
        <f t="shared" si="12"/>
        <v>5</v>
      </c>
      <c r="AB316" s="125">
        <f t="shared" si="13"/>
        <v>-10</v>
      </c>
      <c r="AC316" s="51" t="str">
        <f t="shared" si="14"/>
        <v>-10, 5</v>
      </c>
    </row>
    <row r="317" spans="1:29" x14ac:dyDescent="0.3">
      <c r="A317" s="18"/>
      <c r="B317" s="18"/>
      <c r="C317" s="19"/>
      <c r="Z317" s="124" cm="1">
        <f t="array" ref="Z317">INDEX(Map!$B$2:$V$22,-Paths!AA317+11,Paths!AB317+11)</f>
        <v>0</v>
      </c>
      <c r="AA317" s="125">
        <f t="shared" si="12"/>
        <v>5</v>
      </c>
      <c r="AB317" s="125">
        <f t="shared" si="13"/>
        <v>-9</v>
      </c>
      <c r="AC317" s="51" t="str">
        <f t="shared" si="14"/>
        <v>-9, 5</v>
      </c>
    </row>
    <row r="318" spans="1:29" x14ac:dyDescent="0.3">
      <c r="A318" s="26"/>
      <c r="B318" s="26"/>
      <c r="C318" s="27"/>
      <c r="Z318" s="124" cm="1">
        <f t="array" ref="Z318">INDEX(Map!$B$2:$V$22,-Paths!AA318+11,Paths!AB318+11)</f>
        <v>0</v>
      </c>
      <c r="AA318" s="125">
        <f t="shared" si="12"/>
        <v>5</v>
      </c>
      <c r="AB318" s="125">
        <f t="shared" si="13"/>
        <v>-8</v>
      </c>
      <c r="AC318" s="51" t="str">
        <f t="shared" si="14"/>
        <v>-8, 5</v>
      </c>
    </row>
    <row r="319" spans="1:29" x14ac:dyDescent="0.3">
      <c r="A319" s="31"/>
      <c r="B319" s="32"/>
      <c r="C319" s="32"/>
      <c r="Z319" s="124" cm="1">
        <f t="array" ref="Z319">INDEX(Map!$B$2:$V$22,-Paths!AA319+11,Paths!AB319+11)</f>
        <v>0</v>
      </c>
      <c r="AA319" s="125">
        <f t="shared" si="12"/>
        <v>5</v>
      </c>
      <c r="AB319" s="125">
        <f t="shared" si="13"/>
        <v>-7</v>
      </c>
      <c r="AC319" s="51" t="str">
        <f t="shared" si="14"/>
        <v>-7, 5</v>
      </c>
    </row>
    <row r="320" spans="1:29" x14ac:dyDescent="0.3">
      <c r="A320" s="18"/>
      <c r="B320" s="18"/>
      <c r="C320" s="19"/>
      <c r="Z320" s="124" cm="1">
        <f t="array" ref="Z320">INDEX(Map!$B$2:$V$22,-Paths!AA320+11,Paths!AB320+11)</f>
        <v>0</v>
      </c>
      <c r="AA320" s="125">
        <f t="shared" si="12"/>
        <v>5</v>
      </c>
      <c r="AB320" s="125">
        <f t="shared" si="13"/>
        <v>-6</v>
      </c>
      <c r="AC320" s="51" t="str">
        <f t="shared" si="14"/>
        <v>-6, 5</v>
      </c>
    </row>
    <row r="321" spans="1:29" x14ac:dyDescent="0.3">
      <c r="A321" s="26"/>
      <c r="B321" s="26"/>
      <c r="C321" s="27"/>
      <c r="Z321" s="124" cm="1">
        <f t="array" ref="Z321">INDEX(Map!$B$2:$V$22,-Paths!AA321+11,Paths!AB321+11)</f>
        <v>0</v>
      </c>
      <c r="AA321" s="125">
        <f t="shared" ref="AA321:AA384" si="15">QUOTIENT(ROW(AB321)-1,21)-10</f>
        <v>5</v>
      </c>
      <c r="AB321" s="125">
        <f t="shared" ref="AB321:AB384" si="16">MOD(ROW(AB321)-1,21)-10</f>
        <v>-5</v>
      </c>
      <c r="AC321" s="51" t="str">
        <f t="shared" si="14"/>
        <v>-5, 5</v>
      </c>
    </row>
    <row r="322" spans="1:29" x14ac:dyDescent="0.3">
      <c r="A322" s="31"/>
      <c r="B322" s="32"/>
      <c r="C322" s="32"/>
      <c r="Z322" s="124" cm="1">
        <f t="array" ref="Z322">INDEX(Map!$B$2:$V$22,-Paths!AA322+11,Paths!AB322+11)</f>
        <v>0</v>
      </c>
      <c r="AA322" s="125">
        <f t="shared" si="15"/>
        <v>5</v>
      </c>
      <c r="AB322" s="125">
        <f t="shared" si="16"/>
        <v>-4</v>
      </c>
      <c r="AC322" s="51" t="str">
        <f t="shared" ref="AC322:AC385" si="17">AB322&amp;", "&amp;AA322</f>
        <v>-4, 5</v>
      </c>
    </row>
    <row r="323" spans="1:29" x14ac:dyDescent="0.3">
      <c r="A323" s="18"/>
      <c r="B323" s="18"/>
      <c r="C323" s="19"/>
      <c r="Z323" s="124" cm="1">
        <f t="array" ref="Z323">INDEX(Map!$B$2:$V$22,-Paths!AA323+11,Paths!AB323+11)</f>
        <v>0</v>
      </c>
      <c r="AA323" s="125">
        <f t="shared" si="15"/>
        <v>5</v>
      </c>
      <c r="AB323" s="125">
        <f t="shared" si="16"/>
        <v>-3</v>
      </c>
      <c r="AC323" s="51" t="str">
        <f t="shared" si="17"/>
        <v>-3, 5</v>
      </c>
    </row>
    <row r="324" spans="1:29" x14ac:dyDescent="0.3">
      <c r="A324" s="26"/>
      <c r="B324" s="26"/>
      <c r="C324" s="27"/>
      <c r="Z324" s="124" cm="1">
        <f t="array" ref="Z324">INDEX(Map!$B$2:$V$22,-Paths!AA324+11,Paths!AB324+11)</f>
        <v>0</v>
      </c>
      <c r="AA324" s="125">
        <f t="shared" si="15"/>
        <v>5</v>
      </c>
      <c r="AB324" s="125">
        <f t="shared" si="16"/>
        <v>-2</v>
      </c>
      <c r="AC324" s="51" t="str">
        <f t="shared" si="17"/>
        <v>-2, 5</v>
      </c>
    </row>
    <row r="325" spans="1:29" x14ac:dyDescent="0.3">
      <c r="A325" s="31"/>
      <c r="B325" s="32"/>
      <c r="C325" s="32"/>
      <c r="Z325" s="124" cm="1">
        <f t="array" ref="Z325">INDEX(Map!$B$2:$V$22,-Paths!AA325+11,Paths!AB325+11)</f>
        <v>0</v>
      </c>
      <c r="AA325" s="125">
        <f t="shared" si="15"/>
        <v>5</v>
      </c>
      <c r="AB325" s="125">
        <f t="shared" si="16"/>
        <v>-1</v>
      </c>
      <c r="AC325" s="51" t="str">
        <f t="shared" si="17"/>
        <v>-1, 5</v>
      </c>
    </row>
    <row r="326" spans="1:29" x14ac:dyDescent="0.3">
      <c r="A326" s="18"/>
      <c r="B326" s="18"/>
      <c r="C326" s="19"/>
      <c r="Z326" s="124" cm="1">
        <f t="array" ref="Z326">INDEX(Map!$B$2:$V$22,-Paths!AA326+11,Paths!AB326+11)</f>
        <v>0</v>
      </c>
      <c r="AA326" s="125">
        <f t="shared" si="15"/>
        <v>5</v>
      </c>
      <c r="AB326" s="125">
        <f t="shared" si="16"/>
        <v>0</v>
      </c>
      <c r="AC326" s="51" t="str">
        <f t="shared" si="17"/>
        <v>0, 5</v>
      </c>
    </row>
    <row r="327" spans="1:29" x14ac:dyDescent="0.3">
      <c r="A327" s="26"/>
      <c r="B327" s="26"/>
      <c r="C327" s="27"/>
      <c r="Z327" s="124" t="str" cm="1">
        <f t="array" ref="Z327">INDEX(Map!$B$2:$V$22,-Paths!AA327+11,Paths!AB327+11)</f>
        <v>Feature5</v>
      </c>
      <c r="AA327" s="125">
        <f t="shared" si="15"/>
        <v>5</v>
      </c>
      <c r="AB327" s="125">
        <f t="shared" si="16"/>
        <v>1</v>
      </c>
      <c r="AC327" s="51" t="str">
        <f t="shared" si="17"/>
        <v>1, 5</v>
      </c>
    </row>
    <row r="328" spans="1:29" x14ac:dyDescent="0.3">
      <c r="A328" s="31"/>
      <c r="B328" s="32"/>
      <c r="C328" s="32"/>
      <c r="Z328" s="124" cm="1">
        <f t="array" ref="Z328">INDEX(Map!$B$2:$V$22,-Paths!AA328+11,Paths!AB328+11)</f>
        <v>0</v>
      </c>
      <c r="AA328" s="125">
        <f t="shared" si="15"/>
        <v>5</v>
      </c>
      <c r="AB328" s="125">
        <f t="shared" si="16"/>
        <v>2</v>
      </c>
      <c r="AC328" s="51" t="str">
        <f t="shared" si="17"/>
        <v>2, 5</v>
      </c>
    </row>
    <row r="329" spans="1:29" x14ac:dyDescent="0.3">
      <c r="A329" s="18"/>
      <c r="B329" s="18"/>
      <c r="C329" s="19"/>
      <c r="Z329" s="124" t="str" cm="1">
        <f t="array" ref="Z329">INDEX(Map!$B$2:$V$22,-Paths!AA329+11,Paths!AB329+11)</f>
        <v>Benefit5</v>
      </c>
      <c r="AA329" s="125">
        <f t="shared" si="15"/>
        <v>5</v>
      </c>
      <c r="AB329" s="125">
        <f t="shared" si="16"/>
        <v>3</v>
      </c>
      <c r="AC329" s="51" t="str">
        <f t="shared" si="17"/>
        <v>3, 5</v>
      </c>
    </row>
    <row r="330" spans="1:29" x14ac:dyDescent="0.3">
      <c r="A330" s="26"/>
      <c r="B330" s="26"/>
      <c r="C330" s="27"/>
      <c r="Z330" s="124" cm="1">
        <f t="array" ref="Z330">INDEX(Map!$B$2:$V$22,-Paths!AA330+11,Paths!AB330+11)</f>
        <v>0</v>
      </c>
      <c r="AA330" s="125">
        <f t="shared" si="15"/>
        <v>5</v>
      </c>
      <c r="AB330" s="125">
        <f t="shared" si="16"/>
        <v>4</v>
      </c>
      <c r="AC330" s="51" t="str">
        <f t="shared" si="17"/>
        <v>4, 5</v>
      </c>
    </row>
    <row r="331" spans="1:29" x14ac:dyDescent="0.3">
      <c r="A331" s="31"/>
      <c r="B331" s="32"/>
      <c r="C331" s="32"/>
      <c r="Z331" s="124" cm="1">
        <f t="array" ref="Z331">INDEX(Map!$B$2:$V$22,-Paths!AA331+11,Paths!AB331+11)</f>
        <v>0</v>
      </c>
      <c r="AA331" s="125">
        <f t="shared" si="15"/>
        <v>5</v>
      </c>
      <c r="AB331" s="125">
        <f t="shared" si="16"/>
        <v>5</v>
      </c>
      <c r="AC331" s="51" t="str">
        <f t="shared" si="17"/>
        <v>5, 5</v>
      </c>
    </row>
    <row r="332" spans="1:29" x14ac:dyDescent="0.3">
      <c r="A332" s="18"/>
      <c r="B332" s="18"/>
      <c r="C332" s="19"/>
      <c r="Z332" s="124" cm="1">
        <f t="array" ref="Z332">INDEX(Map!$B$2:$V$22,-Paths!AA332+11,Paths!AB332+11)</f>
        <v>0</v>
      </c>
      <c r="AA332" s="125">
        <f t="shared" si="15"/>
        <v>5</v>
      </c>
      <c r="AB332" s="125">
        <f t="shared" si="16"/>
        <v>6</v>
      </c>
      <c r="AC332" s="51" t="str">
        <f t="shared" si="17"/>
        <v>6, 5</v>
      </c>
    </row>
    <row r="333" spans="1:29" x14ac:dyDescent="0.3">
      <c r="A333" s="26"/>
      <c r="B333" s="26"/>
      <c r="C333" s="27"/>
      <c r="Z333" s="124" cm="1">
        <f t="array" ref="Z333">INDEX(Map!$B$2:$V$22,-Paths!AA333+11,Paths!AB333+11)</f>
        <v>0</v>
      </c>
      <c r="AA333" s="125">
        <f t="shared" si="15"/>
        <v>5</v>
      </c>
      <c r="AB333" s="125">
        <f t="shared" si="16"/>
        <v>7</v>
      </c>
      <c r="AC333" s="51" t="str">
        <f t="shared" si="17"/>
        <v>7, 5</v>
      </c>
    </row>
    <row r="334" spans="1:29" x14ac:dyDescent="0.3">
      <c r="A334" s="31"/>
      <c r="B334" s="32"/>
      <c r="C334" s="32"/>
      <c r="Z334" s="124" cm="1">
        <f t="array" ref="Z334">INDEX(Map!$B$2:$V$22,-Paths!AA334+11,Paths!AB334+11)</f>
        <v>0</v>
      </c>
      <c r="AA334" s="125">
        <f t="shared" si="15"/>
        <v>5</v>
      </c>
      <c r="AB334" s="125">
        <f t="shared" si="16"/>
        <v>8</v>
      </c>
      <c r="AC334" s="51" t="str">
        <f t="shared" si="17"/>
        <v>8, 5</v>
      </c>
    </row>
    <row r="335" spans="1:29" x14ac:dyDescent="0.3">
      <c r="A335" s="18"/>
      <c r="B335" s="18"/>
      <c r="C335" s="19"/>
      <c r="Z335" s="124" cm="1">
        <f t="array" ref="Z335">INDEX(Map!$B$2:$V$22,-Paths!AA335+11,Paths!AB335+11)</f>
        <v>0</v>
      </c>
      <c r="AA335" s="125">
        <f t="shared" si="15"/>
        <v>5</v>
      </c>
      <c r="AB335" s="125">
        <f t="shared" si="16"/>
        <v>9</v>
      </c>
      <c r="AC335" s="51" t="str">
        <f t="shared" si="17"/>
        <v>9, 5</v>
      </c>
    </row>
    <row r="336" spans="1:29" x14ac:dyDescent="0.3">
      <c r="A336" s="26"/>
      <c r="B336" s="26"/>
      <c r="C336" s="27"/>
      <c r="Z336" s="124" cm="1">
        <f t="array" ref="Z336">INDEX(Map!$B$2:$V$22,-Paths!AA336+11,Paths!AB336+11)</f>
        <v>0</v>
      </c>
      <c r="AA336" s="125">
        <f t="shared" si="15"/>
        <v>5</v>
      </c>
      <c r="AB336" s="125">
        <f t="shared" si="16"/>
        <v>10</v>
      </c>
      <c r="AC336" s="51" t="str">
        <f t="shared" si="17"/>
        <v>10, 5</v>
      </c>
    </row>
    <row r="337" spans="1:29" x14ac:dyDescent="0.3">
      <c r="A337" s="31"/>
      <c r="B337" s="32"/>
      <c r="C337" s="32"/>
      <c r="Z337" s="124" cm="1">
        <f t="array" ref="Z337">INDEX(Map!$B$2:$V$22,-Paths!AA337+11,Paths!AB337+11)</f>
        <v>0</v>
      </c>
      <c r="AA337" s="125">
        <f t="shared" si="15"/>
        <v>6</v>
      </c>
      <c r="AB337" s="125">
        <f t="shared" si="16"/>
        <v>-10</v>
      </c>
      <c r="AC337" s="51" t="str">
        <f t="shared" si="17"/>
        <v>-10, 6</v>
      </c>
    </row>
    <row r="338" spans="1:29" x14ac:dyDescent="0.3">
      <c r="A338" s="18"/>
      <c r="B338" s="18"/>
      <c r="C338" s="19"/>
      <c r="Z338" s="124" cm="1">
        <f t="array" ref="Z338">INDEX(Map!$B$2:$V$22,-Paths!AA338+11,Paths!AB338+11)</f>
        <v>0</v>
      </c>
      <c r="AA338" s="125">
        <f t="shared" si="15"/>
        <v>6</v>
      </c>
      <c r="AB338" s="125">
        <f t="shared" si="16"/>
        <v>-9</v>
      </c>
      <c r="AC338" s="51" t="str">
        <f t="shared" si="17"/>
        <v>-9, 6</v>
      </c>
    </row>
    <row r="339" spans="1:29" x14ac:dyDescent="0.3">
      <c r="A339" s="26"/>
      <c r="B339" s="26"/>
      <c r="C339" s="27"/>
      <c r="Z339" s="124" cm="1">
        <f t="array" ref="Z339">INDEX(Map!$B$2:$V$22,-Paths!AA339+11,Paths!AB339+11)</f>
        <v>0</v>
      </c>
      <c r="AA339" s="125">
        <f t="shared" si="15"/>
        <v>6</v>
      </c>
      <c r="AB339" s="125">
        <f t="shared" si="16"/>
        <v>-8</v>
      </c>
      <c r="AC339" s="51" t="str">
        <f t="shared" si="17"/>
        <v>-8, 6</v>
      </c>
    </row>
    <row r="340" spans="1:29" x14ac:dyDescent="0.3">
      <c r="A340" s="22"/>
      <c r="B340" s="23"/>
      <c r="C340" s="23"/>
      <c r="Z340" s="124" cm="1">
        <f t="array" ref="Z340">INDEX(Map!$B$2:$V$22,-Paths!AA340+11,Paths!AB340+11)</f>
        <v>0</v>
      </c>
      <c r="AA340" s="125">
        <f t="shared" si="15"/>
        <v>6</v>
      </c>
      <c r="AB340" s="125">
        <f t="shared" si="16"/>
        <v>-7</v>
      </c>
      <c r="AC340" s="51" t="str">
        <f t="shared" si="17"/>
        <v>-7, 6</v>
      </c>
    </row>
    <row r="341" spans="1:29" x14ac:dyDescent="0.3">
      <c r="A341" s="18"/>
      <c r="B341" s="19"/>
      <c r="C341" s="19"/>
      <c r="Z341" s="124" cm="1">
        <f t="array" ref="Z341">INDEX(Map!$B$2:$V$22,-Paths!AA341+11,Paths!AB341+11)</f>
        <v>0</v>
      </c>
      <c r="AA341" s="125">
        <f t="shared" si="15"/>
        <v>6</v>
      </c>
      <c r="AB341" s="125">
        <f t="shared" si="16"/>
        <v>-6</v>
      </c>
      <c r="AC341" s="51" t="str">
        <f t="shared" si="17"/>
        <v>-6, 6</v>
      </c>
    </row>
    <row r="342" spans="1:29" x14ac:dyDescent="0.3">
      <c r="A342" s="20"/>
      <c r="B342" s="24"/>
      <c r="C342" s="20"/>
      <c r="Z342" s="124" cm="1">
        <f t="array" ref="Z342">INDEX(Map!$B$2:$V$22,-Paths!AA342+11,Paths!AB342+11)</f>
        <v>0</v>
      </c>
      <c r="AA342" s="125">
        <f t="shared" si="15"/>
        <v>6</v>
      </c>
      <c r="AB342" s="125">
        <f t="shared" si="16"/>
        <v>-5</v>
      </c>
      <c r="AC342" s="51" t="str">
        <f t="shared" si="17"/>
        <v>-5, 6</v>
      </c>
    </row>
    <row r="343" spans="1:29" x14ac:dyDescent="0.3">
      <c r="A343" s="20"/>
      <c r="B343" s="21"/>
      <c r="C343" s="25"/>
      <c r="Z343" s="124" cm="1">
        <f t="array" ref="Z343">INDEX(Map!$B$2:$V$22,-Paths!AA343+11,Paths!AB343+11)</f>
        <v>0</v>
      </c>
      <c r="AA343" s="125">
        <f t="shared" si="15"/>
        <v>6</v>
      </c>
      <c r="AB343" s="125">
        <f t="shared" si="16"/>
        <v>-4</v>
      </c>
      <c r="AC343" s="51" t="str">
        <f t="shared" si="17"/>
        <v>-4, 6</v>
      </c>
    </row>
    <row r="344" spans="1:29" x14ac:dyDescent="0.3">
      <c r="A344" s="26"/>
      <c r="B344" s="27"/>
      <c r="C344" s="21"/>
      <c r="Z344" s="124" cm="1">
        <f t="array" ref="Z344">INDEX(Map!$B$2:$V$22,-Paths!AA344+11,Paths!AB344+11)</f>
        <v>0</v>
      </c>
      <c r="AA344" s="125">
        <f t="shared" si="15"/>
        <v>6</v>
      </c>
      <c r="AB344" s="125">
        <f t="shared" si="16"/>
        <v>-3</v>
      </c>
      <c r="AC344" s="51" t="str">
        <f t="shared" si="17"/>
        <v>-3, 6</v>
      </c>
    </row>
    <row r="345" spans="1:29" x14ac:dyDescent="0.3">
      <c r="A345" s="28"/>
      <c r="B345" s="29"/>
      <c r="C345" s="29"/>
      <c r="Z345" s="124" cm="1">
        <f t="array" ref="Z345">INDEX(Map!$B$2:$V$22,-Paths!AA345+11,Paths!AB345+11)</f>
        <v>0</v>
      </c>
      <c r="AA345" s="125">
        <f t="shared" si="15"/>
        <v>6</v>
      </c>
      <c r="AB345" s="125">
        <f t="shared" si="16"/>
        <v>-2</v>
      </c>
      <c r="AC345" s="51" t="str">
        <f t="shared" si="17"/>
        <v>-2, 6</v>
      </c>
    </row>
    <row r="346" spans="1:29" x14ac:dyDescent="0.3">
      <c r="Z346" s="124" cm="1">
        <f t="array" ref="Z346">INDEX(Map!$B$2:$V$22,-Paths!AA346+11,Paths!AB346+11)</f>
        <v>0</v>
      </c>
      <c r="AA346" s="125">
        <f t="shared" si="15"/>
        <v>6</v>
      </c>
      <c r="AB346" s="125">
        <f t="shared" si="16"/>
        <v>-1</v>
      </c>
      <c r="AC346" s="51" t="str">
        <f t="shared" si="17"/>
        <v>-1, 6</v>
      </c>
    </row>
    <row r="347" spans="1:29" x14ac:dyDescent="0.3">
      <c r="Z347" s="124" cm="1">
        <f t="array" ref="Z347">INDEX(Map!$B$2:$V$22,-Paths!AA347+11,Paths!AB347+11)</f>
        <v>0</v>
      </c>
      <c r="AA347" s="125">
        <f t="shared" si="15"/>
        <v>6</v>
      </c>
      <c r="AB347" s="125">
        <f t="shared" si="16"/>
        <v>0</v>
      </c>
      <c r="AC347" s="51" t="str">
        <f t="shared" si="17"/>
        <v>0, 6</v>
      </c>
    </row>
    <row r="348" spans="1:29" x14ac:dyDescent="0.3">
      <c r="Z348" s="124" t="str" cm="1">
        <f t="array" ref="Z348">INDEX(Map!$B$2:$V$22,-Paths!AA348+11,Paths!AB348+11)</f>
        <v>Feature6</v>
      </c>
      <c r="AA348" s="125">
        <f t="shared" si="15"/>
        <v>6</v>
      </c>
      <c r="AB348" s="125">
        <f t="shared" si="16"/>
        <v>1</v>
      </c>
      <c r="AC348" s="51" t="str">
        <f t="shared" si="17"/>
        <v>1, 6</v>
      </c>
    </row>
    <row r="349" spans="1:29" x14ac:dyDescent="0.3">
      <c r="Z349" s="124" cm="1">
        <f t="array" ref="Z349">INDEX(Map!$B$2:$V$22,-Paths!AA349+11,Paths!AB349+11)</f>
        <v>0</v>
      </c>
      <c r="AA349" s="125">
        <f t="shared" si="15"/>
        <v>6</v>
      </c>
      <c r="AB349" s="125">
        <f t="shared" si="16"/>
        <v>2</v>
      </c>
      <c r="AC349" s="51" t="str">
        <f t="shared" si="17"/>
        <v>2, 6</v>
      </c>
    </row>
    <row r="350" spans="1:29" x14ac:dyDescent="0.3">
      <c r="Z350" s="124" t="str" cm="1">
        <f t="array" ref="Z350">INDEX(Map!$B$2:$V$22,-Paths!AA350+11,Paths!AB350+11)</f>
        <v>Benefit6</v>
      </c>
      <c r="AA350" s="125">
        <f t="shared" si="15"/>
        <v>6</v>
      </c>
      <c r="AB350" s="125">
        <f t="shared" si="16"/>
        <v>3</v>
      </c>
      <c r="AC350" s="51" t="str">
        <f t="shared" si="17"/>
        <v>3, 6</v>
      </c>
    </row>
    <row r="351" spans="1:29" x14ac:dyDescent="0.3">
      <c r="Z351" s="124" cm="1">
        <f t="array" ref="Z351">INDEX(Map!$B$2:$V$22,-Paths!AA351+11,Paths!AB351+11)</f>
        <v>0</v>
      </c>
      <c r="AA351" s="125">
        <f t="shared" si="15"/>
        <v>6</v>
      </c>
      <c r="AB351" s="125">
        <f t="shared" si="16"/>
        <v>4</v>
      </c>
      <c r="AC351" s="51" t="str">
        <f t="shared" si="17"/>
        <v>4, 6</v>
      </c>
    </row>
    <row r="352" spans="1:29" x14ac:dyDescent="0.3">
      <c r="Z352" s="124" cm="1">
        <f t="array" ref="Z352">INDEX(Map!$B$2:$V$22,-Paths!AA352+11,Paths!AB352+11)</f>
        <v>0</v>
      </c>
      <c r="AA352" s="125">
        <f t="shared" si="15"/>
        <v>6</v>
      </c>
      <c r="AB352" s="125">
        <f t="shared" si="16"/>
        <v>5</v>
      </c>
      <c r="AC352" s="51" t="str">
        <f t="shared" si="17"/>
        <v>5, 6</v>
      </c>
    </row>
    <row r="353" spans="26:29" x14ac:dyDescent="0.3">
      <c r="Z353" s="124" cm="1">
        <f t="array" ref="Z353">INDEX(Map!$B$2:$V$22,-Paths!AA353+11,Paths!AB353+11)</f>
        <v>0</v>
      </c>
      <c r="AA353" s="125">
        <f t="shared" si="15"/>
        <v>6</v>
      </c>
      <c r="AB353" s="125">
        <f t="shared" si="16"/>
        <v>6</v>
      </c>
      <c r="AC353" s="51" t="str">
        <f t="shared" si="17"/>
        <v>6, 6</v>
      </c>
    </row>
    <row r="354" spans="26:29" x14ac:dyDescent="0.3">
      <c r="Z354" s="124" cm="1">
        <f t="array" ref="Z354">INDEX(Map!$B$2:$V$22,-Paths!AA354+11,Paths!AB354+11)</f>
        <v>0</v>
      </c>
      <c r="AA354" s="125">
        <f t="shared" si="15"/>
        <v>6</v>
      </c>
      <c r="AB354" s="125">
        <f t="shared" si="16"/>
        <v>7</v>
      </c>
      <c r="AC354" s="51" t="str">
        <f t="shared" si="17"/>
        <v>7, 6</v>
      </c>
    </row>
    <row r="355" spans="26:29" x14ac:dyDescent="0.3">
      <c r="Z355" s="124" cm="1">
        <f t="array" ref="Z355">INDEX(Map!$B$2:$V$22,-Paths!AA355+11,Paths!AB355+11)</f>
        <v>0</v>
      </c>
      <c r="AA355" s="125">
        <f t="shared" si="15"/>
        <v>6</v>
      </c>
      <c r="AB355" s="125">
        <f t="shared" si="16"/>
        <v>8</v>
      </c>
      <c r="AC355" s="51" t="str">
        <f t="shared" si="17"/>
        <v>8, 6</v>
      </c>
    </row>
    <row r="356" spans="26:29" x14ac:dyDescent="0.3">
      <c r="Z356" s="124" cm="1">
        <f t="array" ref="Z356">INDEX(Map!$B$2:$V$22,-Paths!AA356+11,Paths!AB356+11)</f>
        <v>0</v>
      </c>
      <c r="AA356" s="125">
        <f t="shared" si="15"/>
        <v>6</v>
      </c>
      <c r="AB356" s="125">
        <f t="shared" si="16"/>
        <v>9</v>
      </c>
      <c r="AC356" s="51" t="str">
        <f t="shared" si="17"/>
        <v>9, 6</v>
      </c>
    </row>
    <row r="357" spans="26:29" x14ac:dyDescent="0.3">
      <c r="Z357" s="124" cm="1">
        <f t="array" ref="Z357">INDEX(Map!$B$2:$V$22,-Paths!AA357+11,Paths!AB357+11)</f>
        <v>0</v>
      </c>
      <c r="AA357" s="125">
        <f t="shared" si="15"/>
        <v>6</v>
      </c>
      <c r="AB357" s="125">
        <f t="shared" si="16"/>
        <v>10</v>
      </c>
      <c r="AC357" s="51" t="str">
        <f t="shared" si="17"/>
        <v>10, 6</v>
      </c>
    </row>
    <row r="358" spans="26:29" x14ac:dyDescent="0.3">
      <c r="Z358" s="124" cm="1">
        <f t="array" ref="Z358">INDEX(Map!$B$2:$V$22,-Paths!AA358+11,Paths!AB358+11)</f>
        <v>0</v>
      </c>
      <c r="AA358" s="125">
        <f t="shared" si="15"/>
        <v>7</v>
      </c>
      <c r="AB358" s="125">
        <f t="shared" si="16"/>
        <v>-10</v>
      </c>
      <c r="AC358" s="51" t="str">
        <f t="shared" si="17"/>
        <v>-10, 7</v>
      </c>
    </row>
    <row r="359" spans="26:29" x14ac:dyDescent="0.3">
      <c r="Z359" s="124" cm="1">
        <f t="array" ref="Z359">INDEX(Map!$B$2:$V$22,-Paths!AA359+11,Paths!AB359+11)</f>
        <v>0</v>
      </c>
      <c r="AA359" s="125">
        <f t="shared" si="15"/>
        <v>7</v>
      </c>
      <c r="AB359" s="125">
        <f t="shared" si="16"/>
        <v>-9</v>
      </c>
      <c r="AC359" s="51" t="str">
        <f t="shared" si="17"/>
        <v>-9, 7</v>
      </c>
    </row>
    <row r="360" spans="26:29" x14ac:dyDescent="0.3">
      <c r="Z360" s="124" cm="1">
        <f t="array" ref="Z360">INDEX(Map!$B$2:$V$22,-Paths!AA360+11,Paths!AB360+11)</f>
        <v>0</v>
      </c>
      <c r="AA360" s="125">
        <f t="shared" si="15"/>
        <v>7</v>
      </c>
      <c r="AB360" s="125">
        <f t="shared" si="16"/>
        <v>-8</v>
      </c>
      <c r="AC360" s="51" t="str">
        <f t="shared" si="17"/>
        <v>-8, 7</v>
      </c>
    </row>
    <row r="361" spans="26:29" x14ac:dyDescent="0.3">
      <c r="Z361" s="124" cm="1">
        <f t="array" ref="Z361">INDEX(Map!$B$2:$V$22,-Paths!AA361+11,Paths!AB361+11)</f>
        <v>0</v>
      </c>
      <c r="AA361" s="125">
        <f t="shared" si="15"/>
        <v>7</v>
      </c>
      <c r="AB361" s="125">
        <f t="shared" si="16"/>
        <v>-7</v>
      </c>
      <c r="AC361" s="51" t="str">
        <f t="shared" si="17"/>
        <v>-7, 7</v>
      </c>
    </row>
    <row r="362" spans="26:29" x14ac:dyDescent="0.3">
      <c r="Z362" s="124" cm="1">
        <f t="array" ref="Z362">INDEX(Map!$B$2:$V$22,-Paths!AA362+11,Paths!AB362+11)</f>
        <v>0</v>
      </c>
      <c r="AA362" s="125">
        <f t="shared" si="15"/>
        <v>7</v>
      </c>
      <c r="AB362" s="125">
        <f t="shared" si="16"/>
        <v>-6</v>
      </c>
      <c r="AC362" s="51" t="str">
        <f t="shared" si="17"/>
        <v>-6, 7</v>
      </c>
    </row>
    <row r="363" spans="26:29" x14ac:dyDescent="0.3">
      <c r="Z363" s="124" cm="1">
        <f t="array" ref="Z363">INDEX(Map!$B$2:$V$22,-Paths!AA363+11,Paths!AB363+11)</f>
        <v>0</v>
      </c>
      <c r="AA363" s="125">
        <f t="shared" si="15"/>
        <v>7</v>
      </c>
      <c r="AB363" s="125">
        <f t="shared" si="16"/>
        <v>-5</v>
      </c>
      <c r="AC363" s="51" t="str">
        <f t="shared" si="17"/>
        <v>-5, 7</v>
      </c>
    </row>
    <row r="364" spans="26:29" x14ac:dyDescent="0.3">
      <c r="Z364" s="124" cm="1">
        <f t="array" ref="Z364">INDEX(Map!$B$2:$V$22,-Paths!AA364+11,Paths!AB364+11)</f>
        <v>0</v>
      </c>
      <c r="AA364" s="125">
        <f t="shared" si="15"/>
        <v>7</v>
      </c>
      <c r="AB364" s="125">
        <f t="shared" si="16"/>
        <v>-4</v>
      </c>
      <c r="AC364" s="51" t="str">
        <f t="shared" si="17"/>
        <v>-4, 7</v>
      </c>
    </row>
    <row r="365" spans="26:29" x14ac:dyDescent="0.3">
      <c r="Z365" s="124" cm="1">
        <f t="array" ref="Z365">INDEX(Map!$B$2:$V$22,-Paths!AA365+11,Paths!AB365+11)</f>
        <v>0</v>
      </c>
      <c r="AA365" s="125">
        <f t="shared" si="15"/>
        <v>7</v>
      </c>
      <c r="AB365" s="125">
        <f t="shared" si="16"/>
        <v>-3</v>
      </c>
      <c r="AC365" s="51" t="str">
        <f t="shared" si="17"/>
        <v>-3, 7</v>
      </c>
    </row>
    <row r="366" spans="26:29" x14ac:dyDescent="0.3">
      <c r="Z366" s="124" cm="1">
        <f t="array" ref="Z366">INDEX(Map!$B$2:$V$22,-Paths!AA366+11,Paths!AB366+11)</f>
        <v>0</v>
      </c>
      <c r="AA366" s="125">
        <f t="shared" si="15"/>
        <v>7</v>
      </c>
      <c r="AB366" s="125">
        <f t="shared" si="16"/>
        <v>-2</v>
      </c>
      <c r="AC366" s="51" t="str">
        <f t="shared" si="17"/>
        <v>-2, 7</v>
      </c>
    </row>
    <row r="367" spans="26:29" x14ac:dyDescent="0.3">
      <c r="Z367" s="124" cm="1">
        <f t="array" ref="Z367">INDEX(Map!$B$2:$V$22,-Paths!AA367+11,Paths!AB367+11)</f>
        <v>0</v>
      </c>
      <c r="AA367" s="125">
        <f t="shared" si="15"/>
        <v>7</v>
      </c>
      <c r="AB367" s="125">
        <f t="shared" si="16"/>
        <v>-1</v>
      </c>
      <c r="AC367" s="51" t="str">
        <f t="shared" si="17"/>
        <v>-1, 7</v>
      </c>
    </row>
    <row r="368" spans="26:29" x14ac:dyDescent="0.3">
      <c r="Z368" s="124" cm="1">
        <f t="array" ref="Z368">INDEX(Map!$B$2:$V$22,-Paths!AA368+11,Paths!AB368+11)</f>
        <v>0</v>
      </c>
      <c r="AA368" s="125">
        <f t="shared" si="15"/>
        <v>7</v>
      </c>
      <c r="AB368" s="125">
        <f t="shared" si="16"/>
        <v>0</v>
      </c>
      <c r="AC368" s="51" t="str">
        <f t="shared" si="17"/>
        <v>0, 7</v>
      </c>
    </row>
    <row r="369" spans="26:29" x14ac:dyDescent="0.3">
      <c r="Z369" s="124" cm="1">
        <f t="array" ref="Z369">INDEX(Map!$B$2:$V$22,-Paths!AA369+11,Paths!AB369+11)</f>
        <v>0</v>
      </c>
      <c r="AA369" s="125">
        <f t="shared" si="15"/>
        <v>7</v>
      </c>
      <c r="AB369" s="125">
        <f t="shared" si="16"/>
        <v>1</v>
      </c>
      <c r="AC369" s="51" t="str">
        <f t="shared" si="17"/>
        <v>1, 7</v>
      </c>
    </row>
    <row r="370" spans="26:29" x14ac:dyDescent="0.3">
      <c r="Z370" s="124" cm="1">
        <f t="array" ref="Z370">INDEX(Map!$B$2:$V$22,-Paths!AA370+11,Paths!AB370+11)</f>
        <v>0</v>
      </c>
      <c r="AA370" s="125">
        <f t="shared" si="15"/>
        <v>7</v>
      </c>
      <c r="AB370" s="125">
        <f t="shared" si="16"/>
        <v>2</v>
      </c>
      <c r="AC370" s="51" t="str">
        <f t="shared" si="17"/>
        <v>2, 7</v>
      </c>
    </row>
    <row r="371" spans="26:29" x14ac:dyDescent="0.3">
      <c r="Z371" s="124" cm="1">
        <f t="array" ref="Z371">INDEX(Map!$B$2:$V$22,-Paths!AA371+11,Paths!AB371+11)</f>
        <v>0</v>
      </c>
      <c r="AA371" s="125">
        <f t="shared" si="15"/>
        <v>7</v>
      </c>
      <c r="AB371" s="125">
        <f t="shared" si="16"/>
        <v>3</v>
      </c>
      <c r="AC371" s="51" t="str">
        <f t="shared" si="17"/>
        <v>3, 7</v>
      </c>
    </row>
    <row r="372" spans="26:29" x14ac:dyDescent="0.3">
      <c r="Z372" s="124" cm="1">
        <f t="array" ref="Z372">INDEX(Map!$B$2:$V$22,-Paths!AA372+11,Paths!AB372+11)</f>
        <v>0</v>
      </c>
      <c r="AA372" s="125">
        <f t="shared" si="15"/>
        <v>7</v>
      </c>
      <c r="AB372" s="125">
        <f t="shared" si="16"/>
        <v>4</v>
      </c>
      <c r="AC372" s="51" t="str">
        <f t="shared" si="17"/>
        <v>4, 7</v>
      </c>
    </row>
    <row r="373" spans="26:29" x14ac:dyDescent="0.3">
      <c r="Z373" s="124" cm="1">
        <f t="array" ref="Z373">INDEX(Map!$B$2:$V$22,-Paths!AA373+11,Paths!AB373+11)</f>
        <v>0</v>
      </c>
      <c r="AA373" s="125">
        <f t="shared" si="15"/>
        <v>7</v>
      </c>
      <c r="AB373" s="125">
        <f t="shared" si="16"/>
        <v>5</v>
      </c>
      <c r="AC373" s="51" t="str">
        <f t="shared" si="17"/>
        <v>5, 7</v>
      </c>
    </row>
    <row r="374" spans="26:29" x14ac:dyDescent="0.3">
      <c r="Z374" s="124" cm="1">
        <f t="array" ref="Z374">INDEX(Map!$B$2:$V$22,-Paths!AA374+11,Paths!AB374+11)</f>
        <v>0</v>
      </c>
      <c r="AA374" s="125">
        <f t="shared" si="15"/>
        <v>7</v>
      </c>
      <c r="AB374" s="125">
        <f t="shared" si="16"/>
        <v>6</v>
      </c>
      <c r="AC374" s="51" t="str">
        <f t="shared" si="17"/>
        <v>6, 7</v>
      </c>
    </row>
    <row r="375" spans="26:29" x14ac:dyDescent="0.3">
      <c r="Z375" s="124" cm="1">
        <f t="array" ref="Z375">INDEX(Map!$B$2:$V$22,-Paths!AA375+11,Paths!AB375+11)</f>
        <v>0</v>
      </c>
      <c r="AA375" s="125">
        <f t="shared" si="15"/>
        <v>7</v>
      </c>
      <c r="AB375" s="125">
        <f t="shared" si="16"/>
        <v>7</v>
      </c>
      <c r="AC375" s="51" t="str">
        <f t="shared" si="17"/>
        <v>7, 7</v>
      </c>
    </row>
    <row r="376" spans="26:29" x14ac:dyDescent="0.3">
      <c r="Z376" s="124" cm="1">
        <f t="array" ref="Z376">INDEX(Map!$B$2:$V$22,-Paths!AA376+11,Paths!AB376+11)</f>
        <v>0</v>
      </c>
      <c r="AA376" s="125">
        <f t="shared" si="15"/>
        <v>7</v>
      </c>
      <c r="AB376" s="125">
        <f t="shared" si="16"/>
        <v>8</v>
      </c>
      <c r="AC376" s="51" t="str">
        <f t="shared" si="17"/>
        <v>8, 7</v>
      </c>
    </row>
    <row r="377" spans="26:29" x14ac:dyDescent="0.3">
      <c r="Z377" s="124" cm="1">
        <f t="array" ref="Z377">INDEX(Map!$B$2:$V$22,-Paths!AA377+11,Paths!AB377+11)</f>
        <v>0</v>
      </c>
      <c r="AA377" s="125">
        <f t="shared" si="15"/>
        <v>7</v>
      </c>
      <c r="AB377" s="125">
        <f t="shared" si="16"/>
        <v>9</v>
      </c>
      <c r="AC377" s="51" t="str">
        <f t="shared" si="17"/>
        <v>9, 7</v>
      </c>
    </row>
    <row r="378" spans="26:29" x14ac:dyDescent="0.3">
      <c r="Z378" s="124" cm="1">
        <f t="array" ref="Z378">INDEX(Map!$B$2:$V$22,-Paths!AA378+11,Paths!AB378+11)</f>
        <v>0</v>
      </c>
      <c r="AA378" s="125">
        <f t="shared" si="15"/>
        <v>7</v>
      </c>
      <c r="AB378" s="125">
        <f t="shared" si="16"/>
        <v>10</v>
      </c>
      <c r="AC378" s="51" t="str">
        <f t="shared" si="17"/>
        <v>10, 7</v>
      </c>
    </row>
    <row r="379" spans="26:29" x14ac:dyDescent="0.3">
      <c r="Z379" s="124" cm="1">
        <f t="array" ref="Z379">INDEX(Map!$B$2:$V$22,-Paths!AA379+11,Paths!AB379+11)</f>
        <v>0</v>
      </c>
      <c r="AA379" s="125">
        <f t="shared" si="15"/>
        <v>8</v>
      </c>
      <c r="AB379" s="125">
        <f t="shared" si="16"/>
        <v>-10</v>
      </c>
      <c r="AC379" s="51" t="str">
        <f t="shared" si="17"/>
        <v>-10, 8</v>
      </c>
    </row>
    <row r="380" spans="26:29" x14ac:dyDescent="0.3">
      <c r="Z380" s="124" cm="1">
        <f t="array" ref="Z380">INDEX(Map!$B$2:$V$22,-Paths!AA380+11,Paths!AB380+11)</f>
        <v>0</v>
      </c>
      <c r="AA380" s="125">
        <f t="shared" si="15"/>
        <v>8</v>
      </c>
      <c r="AB380" s="125">
        <f t="shared" si="16"/>
        <v>-9</v>
      </c>
      <c r="AC380" s="51" t="str">
        <f t="shared" si="17"/>
        <v>-9, 8</v>
      </c>
    </row>
    <row r="381" spans="26:29" x14ac:dyDescent="0.3">
      <c r="Z381" s="124" cm="1">
        <f t="array" ref="Z381">INDEX(Map!$B$2:$V$22,-Paths!AA381+11,Paths!AB381+11)</f>
        <v>0</v>
      </c>
      <c r="AA381" s="125">
        <f t="shared" si="15"/>
        <v>8</v>
      </c>
      <c r="AB381" s="125">
        <f t="shared" si="16"/>
        <v>-8</v>
      </c>
      <c r="AC381" s="51" t="str">
        <f t="shared" si="17"/>
        <v>-8, 8</v>
      </c>
    </row>
    <row r="382" spans="26:29" x14ac:dyDescent="0.3">
      <c r="Z382" s="124" cm="1">
        <f t="array" ref="Z382">INDEX(Map!$B$2:$V$22,-Paths!AA382+11,Paths!AB382+11)</f>
        <v>0</v>
      </c>
      <c r="AA382" s="125">
        <f t="shared" si="15"/>
        <v>8</v>
      </c>
      <c r="AB382" s="125">
        <f t="shared" si="16"/>
        <v>-7</v>
      </c>
      <c r="AC382" s="51" t="str">
        <f t="shared" si="17"/>
        <v>-7, 8</v>
      </c>
    </row>
    <row r="383" spans="26:29" x14ac:dyDescent="0.3">
      <c r="Z383" s="124" cm="1">
        <f t="array" ref="Z383">INDEX(Map!$B$2:$V$22,-Paths!AA383+11,Paths!AB383+11)</f>
        <v>0</v>
      </c>
      <c r="AA383" s="125">
        <f t="shared" si="15"/>
        <v>8</v>
      </c>
      <c r="AB383" s="125">
        <f t="shared" si="16"/>
        <v>-6</v>
      </c>
      <c r="AC383" s="51" t="str">
        <f t="shared" si="17"/>
        <v>-6, 8</v>
      </c>
    </row>
    <row r="384" spans="26:29" x14ac:dyDescent="0.3">
      <c r="Z384" s="124" cm="1">
        <f t="array" ref="Z384">INDEX(Map!$B$2:$V$22,-Paths!AA384+11,Paths!AB384+11)</f>
        <v>0</v>
      </c>
      <c r="AA384" s="125">
        <f t="shared" si="15"/>
        <v>8</v>
      </c>
      <c r="AB384" s="125">
        <f t="shared" si="16"/>
        <v>-5</v>
      </c>
      <c r="AC384" s="51" t="str">
        <f t="shared" si="17"/>
        <v>-5, 8</v>
      </c>
    </row>
    <row r="385" spans="26:29" x14ac:dyDescent="0.3">
      <c r="Z385" s="124" cm="1">
        <f t="array" ref="Z385">INDEX(Map!$B$2:$V$22,-Paths!AA385+11,Paths!AB385+11)</f>
        <v>0</v>
      </c>
      <c r="AA385" s="125">
        <f t="shared" ref="AA385:AA441" si="18">QUOTIENT(ROW(AB385)-1,21)-10</f>
        <v>8</v>
      </c>
      <c r="AB385" s="125">
        <f t="shared" ref="AB385:AB441" si="19">MOD(ROW(AB385)-1,21)-10</f>
        <v>-4</v>
      </c>
      <c r="AC385" s="51" t="str">
        <f t="shared" si="17"/>
        <v>-4, 8</v>
      </c>
    </row>
    <row r="386" spans="26:29" x14ac:dyDescent="0.3">
      <c r="Z386" s="124" cm="1">
        <f t="array" ref="Z386">INDEX(Map!$B$2:$V$22,-Paths!AA386+11,Paths!AB386+11)</f>
        <v>0</v>
      </c>
      <c r="AA386" s="125">
        <f t="shared" si="18"/>
        <v>8</v>
      </c>
      <c r="AB386" s="125">
        <f t="shared" si="19"/>
        <v>-3</v>
      </c>
      <c r="AC386" s="51" t="str">
        <f t="shared" ref="AC386:AC441" si="20">AB386&amp;", "&amp;AA386</f>
        <v>-3, 8</v>
      </c>
    </row>
    <row r="387" spans="26:29" x14ac:dyDescent="0.3">
      <c r="Z387" s="124" cm="1">
        <f t="array" ref="Z387">INDEX(Map!$B$2:$V$22,-Paths!AA387+11,Paths!AB387+11)</f>
        <v>0</v>
      </c>
      <c r="AA387" s="125">
        <f t="shared" si="18"/>
        <v>8</v>
      </c>
      <c r="AB387" s="125">
        <f t="shared" si="19"/>
        <v>-2</v>
      </c>
      <c r="AC387" s="51" t="str">
        <f t="shared" si="20"/>
        <v>-2, 8</v>
      </c>
    </row>
    <row r="388" spans="26:29" x14ac:dyDescent="0.3">
      <c r="Z388" s="124" cm="1">
        <f t="array" ref="Z388">INDEX(Map!$B$2:$V$22,-Paths!AA388+11,Paths!AB388+11)</f>
        <v>0</v>
      </c>
      <c r="AA388" s="125">
        <f t="shared" si="18"/>
        <v>8</v>
      </c>
      <c r="AB388" s="125">
        <f t="shared" si="19"/>
        <v>-1</v>
      </c>
      <c r="AC388" s="51" t="str">
        <f t="shared" si="20"/>
        <v>-1, 8</v>
      </c>
    </row>
    <row r="389" spans="26:29" x14ac:dyDescent="0.3">
      <c r="Z389" s="124" cm="1">
        <f t="array" ref="Z389">INDEX(Map!$B$2:$V$22,-Paths!AA389+11,Paths!AB389+11)</f>
        <v>0</v>
      </c>
      <c r="AA389" s="125">
        <f t="shared" si="18"/>
        <v>8</v>
      </c>
      <c r="AB389" s="125">
        <f t="shared" si="19"/>
        <v>0</v>
      </c>
      <c r="AC389" s="51" t="str">
        <f t="shared" si="20"/>
        <v>0, 8</v>
      </c>
    </row>
    <row r="390" spans="26:29" x14ac:dyDescent="0.3">
      <c r="Z390" s="124" cm="1">
        <f t="array" ref="Z390">INDEX(Map!$B$2:$V$22,-Paths!AA390+11,Paths!AB390+11)</f>
        <v>0</v>
      </c>
      <c r="AA390" s="125">
        <f t="shared" si="18"/>
        <v>8</v>
      </c>
      <c r="AB390" s="125">
        <f t="shared" si="19"/>
        <v>1</v>
      </c>
      <c r="AC390" s="51" t="str">
        <f t="shared" si="20"/>
        <v>1, 8</v>
      </c>
    </row>
    <row r="391" spans="26:29" x14ac:dyDescent="0.3">
      <c r="Z391" s="124" t="str" cm="1">
        <f t="array" ref="Z391">INDEX(Map!$B$2:$V$22,-Paths!AA391+11,Paths!AB391+11)</f>
        <v>Teleport1</v>
      </c>
      <c r="AA391" s="125">
        <f t="shared" si="18"/>
        <v>8</v>
      </c>
      <c r="AB391" s="125">
        <f t="shared" si="19"/>
        <v>2</v>
      </c>
      <c r="AC391" s="51" t="str">
        <f t="shared" si="20"/>
        <v>2, 8</v>
      </c>
    </row>
    <row r="392" spans="26:29" x14ac:dyDescent="0.3">
      <c r="Z392" s="124" cm="1">
        <f t="array" ref="Z392">INDEX(Map!$B$2:$V$22,-Paths!AA392+11,Paths!AB392+11)</f>
        <v>0</v>
      </c>
      <c r="AA392" s="125">
        <f t="shared" si="18"/>
        <v>8</v>
      </c>
      <c r="AB392" s="125">
        <f t="shared" si="19"/>
        <v>3</v>
      </c>
      <c r="AC392" s="51" t="str">
        <f t="shared" si="20"/>
        <v>3, 8</v>
      </c>
    </row>
    <row r="393" spans="26:29" x14ac:dyDescent="0.3">
      <c r="Z393" s="124" cm="1">
        <f t="array" ref="Z393">INDEX(Map!$B$2:$V$22,-Paths!AA393+11,Paths!AB393+11)</f>
        <v>0</v>
      </c>
      <c r="AA393" s="125">
        <f t="shared" si="18"/>
        <v>8</v>
      </c>
      <c r="AB393" s="125">
        <f t="shared" si="19"/>
        <v>4</v>
      </c>
      <c r="AC393" s="51" t="str">
        <f t="shared" si="20"/>
        <v>4, 8</v>
      </c>
    </row>
    <row r="394" spans="26:29" x14ac:dyDescent="0.3">
      <c r="Z394" s="124" cm="1">
        <f t="array" ref="Z394">INDEX(Map!$B$2:$V$22,-Paths!AA394+11,Paths!AB394+11)</f>
        <v>0</v>
      </c>
      <c r="AA394" s="125">
        <f t="shared" si="18"/>
        <v>8</v>
      </c>
      <c r="AB394" s="125">
        <f t="shared" si="19"/>
        <v>5</v>
      </c>
      <c r="AC394" s="51" t="str">
        <f t="shared" si="20"/>
        <v>5, 8</v>
      </c>
    </row>
    <row r="395" spans="26:29" x14ac:dyDescent="0.3">
      <c r="Z395" s="124" cm="1">
        <f t="array" ref="Z395">INDEX(Map!$B$2:$V$22,-Paths!AA395+11,Paths!AB395+11)</f>
        <v>0</v>
      </c>
      <c r="AA395" s="125">
        <f t="shared" si="18"/>
        <v>8</v>
      </c>
      <c r="AB395" s="125">
        <f t="shared" si="19"/>
        <v>6</v>
      </c>
      <c r="AC395" s="51" t="str">
        <f t="shared" si="20"/>
        <v>6, 8</v>
      </c>
    </row>
    <row r="396" spans="26:29" x14ac:dyDescent="0.3">
      <c r="Z396" s="124" cm="1">
        <f t="array" ref="Z396">INDEX(Map!$B$2:$V$22,-Paths!AA396+11,Paths!AB396+11)</f>
        <v>0</v>
      </c>
      <c r="AA396" s="125">
        <f t="shared" si="18"/>
        <v>8</v>
      </c>
      <c r="AB396" s="125">
        <f t="shared" si="19"/>
        <v>7</v>
      </c>
      <c r="AC396" s="51" t="str">
        <f t="shared" si="20"/>
        <v>7, 8</v>
      </c>
    </row>
    <row r="397" spans="26:29" x14ac:dyDescent="0.3">
      <c r="Z397" s="124" cm="1">
        <f t="array" ref="Z397">INDEX(Map!$B$2:$V$22,-Paths!AA397+11,Paths!AB397+11)</f>
        <v>0</v>
      </c>
      <c r="AA397" s="125">
        <f t="shared" si="18"/>
        <v>8</v>
      </c>
      <c r="AB397" s="125">
        <f t="shared" si="19"/>
        <v>8</v>
      </c>
      <c r="AC397" s="51" t="str">
        <f t="shared" si="20"/>
        <v>8, 8</v>
      </c>
    </row>
    <row r="398" spans="26:29" x14ac:dyDescent="0.3">
      <c r="Z398" s="124" cm="1">
        <f t="array" ref="Z398">INDEX(Map!$B$2:$V$22,-Paths!AA398+11,Paths!AB398+11)</f>
        <v>0</v>
      </c>
      <c r="AA398" s="125">
        <f t="shared" si="18"/>
        <v>8</v>
      </c>
      <c r="AB398" s="125">
        <f t="shared" si="19"/>
        <v>9</v>
      </c>
      <c r="AC398" s="51" t="str">
        <f t="shared" si="20"/>
        <v>9, 8</v>
      </c>
    </row>
    <row r="399" spans="26:29" x14ac:dyDescent="0.3">
      <c r="Z399" s="124" cm="1">
        <f t="array" ref="Z399">INDEX(Map!$B$2:$V$22,-Paths!AA399+11,Paths!AB399+11)</f>
        <v>0</v>
      </c>
      <c r="AA399" s="125">
        <f t="shared" si="18"/>
        <v>8</v>
      </c>
      <c r="AB399" s="125">
        <f t="shared" si="19"/>
        <v>10</v>
      </c>
      <c r="AC399" s="51" t="str">
        <f t="shared" si="20"/>
        <v>10, 8</v>
      </c>
    </row>
    <row r="400" spans="26:29" x14ac:dyDescent="0.3">
      <c r="Z400" s="124" cm="1">
        <f t="array" ref="Z400">INDEX(Map!$B$2:$V$22,-Paths!AA400+11,Paths!AB400+11)</f>
        <v>0</v>
      </c>
      <c r="AA400" s="125">
        <f t="shared" si="18"/>
        <v>9</v>
      </c>
      <c r="AB400" s="125">
        <f t="shared" si="19"/>
        <v>-10</v>
      </c>
      <c r="AC400" s="51" t="str">
        <f t="shared" si="20"/>
        <v>-10, 9</v>
      </c>
    </row>
    <row r="401" spans="26:29" x14ac:dyDescent="0.3">
      <c r="Z401" s="124" cm="1">
        <f t="array" ref="Z401">INDEX(Map!$B$2:$V$22,-Paths!AA401+11,Paths!AB401+11)</f>
        <v>0</v>
      </c>
      <c r="AA401" s="125">
        <f t="shared" si="18"/>
        <v>9</v>
      </c>
      <c r="AB401" s="125">
        <f t="shared" si="19"/>
        <v>-9</v>
      </c>
      <c r="AC401" s="51" t="str">
        <f t="shared" si="20"/>
        <v>-9, 9</v>
      </c>
    </row>
    <row r="402" spans="26:29" x14ac:dyDescent="0.3">
      <c r="Z402" s="124" cm="1">
        <f t="array" ref="Z402">INDEX(Map!$B$2:$V$22,-Paths!AA402+11,Paths!AB402+11)</f>
        <v>0</v>
      </c>
      <c r="AA402" s="125">
        <f t="shared" si="18"/>
        <v>9</v>
      </c>
      <c r="AB402" s="125">
        <f t="shared" si="19"/>
        <v>-8</v>
      </c>
      <c r="AC402" s="51" t="str">
        <f t="shared" si="20"/>
        <v>-8, 9</v>
      </c>
    </row>
    <row r="403" spans="26:29" x14ac:dyDescent="0.3">
      <c r="Z403" s="124" cm="1">
        <f t="array" ref="Z403">INDEX(Map!$B$2:$V$22,-Paths!AA403+11,Paths!AB403+11)</f>
        <v>0</v>
      </c>
      <c r="AA403" s="125">
        <f t="shared" si="18"/>
        <v>9</v>
      </c>
      <c r="AB403" s="125">
        <f t="shared" si="19"/>
        <v>-7</v>
      </c>
      <c r="AC403" s="51" t="str">
        <f t="shared" si="20"/>
        <v>-7, 9</v>
      </c>
    </row>
    <row r="404" spans="26:29" x14ac:dyDescent="0.3">
      <c r="Z404" s="124" cm="1">
        <f t="array" ref="Z404">INDEX(Map!$B$2:$V$22,-Paths!AA404+11,Paths!AB404+11)</f>
        <v>0</v>
      </c>
      <c r="AA404" s="125">
        <f t="shared" si="18"/>
        <v>9</v>
      </c>
      <c r="AB404" s="125">
        <f t="shared" si="19"/>
        <v>-6</v>
      </c>
      <c r="AC404" s="51" t="str">
        <f t="shared" si="20"/>
        <v>-6, 9</v>
      </c>
    </row>
    <row r="405" spans="26:29" x14ac:dyDescent="0.3">
      <c r="Z405" s="124" cm="1">
        <f t="array" ref="Z405">INDEX(Map!$B$2:$V$22,-Paths!AA405+11,Paths!AB405+11)</f>
        <v>0</v>
      </c>
      <c r="AA405" s="125">
        <f t="shared" si="18"/>
        <v>9</v>
      </c>
      <c r="AB405" s="125">
        <f t="shared" si="19"/>
        <v>-5</v>
      </c>
      <c r="AC405" s="51" t="str">
        <f t="shared" si="20"/>
        <v>-5, 9</v>
      </c>
    </row>
    <row r="406" spans="26:29" x14ac:dyDescent="0.3">
      <c r="Z406" s="124" cm="1">
        <f t="array" ref="Z406">INDEX(Map!$B$2:$V$22,-Paths!AA406+11,Paths!AB406+11)</f>
        <v>0</v>
      </c>
      <c r="AA406" s="125">
        <f t="shared" si="18"/>
        <v>9</v>
      </c>
      <c r="AB406" s="125">
        <f t="shared" si="19"/>
        <v>-4</v>
      </c>
      <c r="AC406" s="51" t="str">
        <f t="shared" si="20"/>
        <v>-4, 9</v>
      </c>
    </row>
    <row r="407" spans="26:29" x14ac:dyDescent="0.3">
      <c r="Z407" s="124" cm="1">
        <f t="array" ref="Z407">INDEX(Map!$B$2:$V$22,-Paths!AA407+11,Paths!AB407+11)</f>
        <v>0</v>
      </c>
      <c r="AA407" s="125">
        <f t="shared" si="18"/>
        <v>9</v>
      </c>
      <c r="AB407" s="125">
        <f t="shared" si="19"/>
        <v>-3</v>
      </c>
      <c r="AC407" s="51" t="str">
        <f t="shared" si="20"/>
        <v>-3, 9</v>
      </c>
    </row>
    <row r="408" spans="26:29" x14ac:dyDescent="0.3">
      <c r="Z408" s="124" cm="1">
        <f t="array" ref="Z408">INDEX(Map!$B$2:$V$22,-Paths!AA408+11,Paths!AB408+11)</f>
        <v>0</v>
      </c>
      <c r="AA408" s="125">
        <f t="shared" si="18"/>
        <v>9</v>
      </c>
      <c r="AB408" s="125">
        <f t="shared" si="19"/>
        <v>-2</v>
      </c>
      <c r="AC408" s="51" t="str">
        <f t="shared" si="20"/>
        <v>-2, 9</v>
      </c>
    </row>
    <row r="409" spans="26:29" x14ac:dyDescent="0.3">
      <c r="Z409" s="124" cm="1">
        <f t="array" ref="Z409">INDEX(Map!$B$2:$V$22,-Paths!AA409+11,Paths!AB409+11)</f>
        <v>0</v>
      </c>
      <c r="AA409" s="125">
        <f t="shared" si="18"/>
        <v>9</v>
      </c>
      <c r="AB409" s="125">
        <f t="shared" si="19"/>
        <v>-1</v>
      </c>
      <c r="AC409" s="51" t="str">
        <f t="shared" si="20"/>
        <v>-1, 9</v>
      </c>
    </row>
    <row r="410" spans="26:29" x14ac:dyDescent="0.3">
      <c r="Z410" s="124" cm="1">
        <f t="array" ref="Z410">INDEX(Map!$B$2:$V$22,-Paths!AA410+11,Paths!AB410+11)</f>
        <v>0</v>
      </c>
      <c r="AA410" s="125">
        <f t="shared" si="18"/>
        <v>9</v>
      </c>
      <c r="AB410" s="125">
        <f t="shared" si="19"/>
        <v>0</v>
      </c>
      <c r="AC410" s="51" t="str">
        <f t="shared" si="20"/>
        <v>0, 9</v>
      </c>
    </row>
    <row r="411" spans="26:29" x14ac:dyDescent="0.3">
      <c r="Z411" s="124" cm="1">
        <f t="array" ref="Z411">INDEX(Map!$B$2:$V$22,-Paths!AA411+11,Paths!AB411+11)</f>
        <v>0</v>
      </c>
      <c r="AA411" s="125">
        <f t="shared" si="18"/>
        <v>9</v>
      </c>
      <c r="AB411" s="125">
        <f t="shared" si="19"/>
        <v>1</v>
      </c>
      <c r="AC411" s="51" t="str">
        <f t="shared" si="20"/>
        <v>1, 9</v>
      </c>
    </row>
    <row r="412" spans="26:29" x14ac:dyDescent="0.3">
      <c r="Z412" s="124" cm="1">
        <f t="array" ref="Z412">INDEX(Map!$B$2:$V$22,-Paths!AA412+11,Paths!AB412+11)</f>
        <v>0</v>
      </c>
      <c r="AA412" s="125">
        <f t="shared" si="18"/>
        <v>9</v>
      </c>
      <c r="AB412" s="125">
        <f t="shared" si="19"/>
        <v>2</v>
      </c>
      <c r="AC412" s="51" t="str">
        <f t="shared" si="20"/>
        <v>2, 9</v>
      </c>
    </row>
    <row r="413" spans="26:29" x14ac:dyDescent="0.3">
      <c r="Z413" s="124" cm="1">
        <f t="array" ref="Z413">INDEX(Map!$B$2:$V$22,-Paths!AA413+11,Paths!AB413+11)</f>
        <v>0</v>
      </c>
      <c r="AA413" s="125">
        <f t="shared" si="18"/>
        <v>9</v>
      </c>
      <c r="AB413" s="125">
        <f t="shared" si="19"/>
        <v>3</v>
      </c>
      <c r="AC413" s="51" t="str">
        <f t="shared" si="20"/>
        <v>3, 9</v>
      </c>
    </row>
    <row r="414" spans="26:29" x14ac:dyDescent="0.3">
      <c r="Z414" s="124" cm="1">
        <f t="array" ref="Z414">INDEX(Map!$B$2:$V$22,-Paths!AA414+11,Paths!AB414+11)</f>
        <v>0</v>
      </c>
      <c r="AA414" s="125">
        <f t="shared" si="18"/>
        <v>9</v>
      </c>
      <c r="AB414" s="125">
        <f t="shared" si="19"/>
        <v>4</v>
      </c>
      <c r="AC414" s="51" t="str">
        <f t="shared" si="20"/>
        <v>4, 9</v>
      </c>
    </row>
    <row r="415" spans="26:29" x14ac:dyDescent="0.3">
      <c r="Z415" s="124" cm="1">
        <f t="array" ref="Z415">INDEX(Map!$B$2:$V$22,-Paths!AA415+11,Paths!AB415+11)</f>
        <v>0</v>
      </c>
      <c r="AA415" s="125">
        <f t="shared" si="18"/>
        <v>9</v>
      </c>
      <c r="AB415" s="125">
        <f t="shared" si="19"/>
        <v>5</v>
      </c>
      <c r="AC415" s="51" t="str">
        <f t="shared" si="20"/>
        <v>5, 9</v>
      </c>
    </row>
    <row r="416" spans="26:29" x14ac:dyDescent="0.3">
      <c r="Z416" s="124" cm="1">
        <f t="array" ref="Z416">INDEX(Map!$B$2:$V$22,-Paths!AA416+11,Paths!AB416+11)</f>
        <v>0</v>
      </c>
      <c r="AA416" s="125">
        <f t="shared" si="18"/>
        <v>9</v>
      </c>
      <c r="AB416" s="125">
        <f t="shared" si="19"/>
        <v>6</v>
      </c>
      <c r="AC416" s="51" t="str">
        <f t="shared" si="20"/>
        <v>6, 9</v>
      </c>
    </row>
    <row r="417" spans="26:29" x14ac:dyDescent="0.3">
      <c r="Z417" s="124" cm="1">
        <f t="array" ref="Z417">INDEX(Map!$B$2:$V$22,-Paths!AA417+11,Paths!AB417+11)</f>
        <v>0</v>
      </c>
      <c r="AA417" s="125">
        <f t="shared" si="18"/>
        <v>9</v>
      </c>
      <c r="AB417" s="125">
        <f t="shared" si="19"/>
        <v>7</v>
      </c>
      <c r="AC417" s="51" t="str">
        <f t="shared" si="20"/>
        <v>7, 9</v>
      </c>
    </row>
    <row r="418" spans="26:29" x14ac:dyDescent="0.3">
      <c r="Z418" s="124" cm="1">
        <f t="array" ref="Z418">INDEX(Map!$B$2:$V$22,-Paths!AA418+11,Paths!AB418+11)</f>
        <v>0</v>
      </c>
      <c r="AA418" s="125">
        <f t="shared" si="18"/>
        <v>9</v>
      </c>
      <c r="AB418" s="125">
        <f t="shared" si="19"/>
        <v>8</v>
      </c>
      <c r="AC418" s="51" t="str">
        <f t="shared" si="20"/>
        <v>8, 9</v>
      </c>
    </row>
    <row r="419" spans="26:29" x14ac:dyDescent="0.3">
      <c r="Z419" s="124" cm="1">
        <f t="array" ref="Z419">INDEX(Map!$B$2:$V$22,-Paths!AA419+11,Paths!AB419+11)</f>
        <v>0</v>
      </c>
      <c r="AA419" s="125">
        <f t="shared" si="18"/>
        <v>9</v>
      </c>
      <c r="AB419" s="125">
        <f t="shared" si="19"/>
        <v>9</v>
      </c>
      <c r="AC419" s="51" t="str">
        <f t="shared" si="20"/>
        <v>9, 9</v>
      </c>
    </row>
    <row r="420" spans="26:29" x14ac:dyDescent="0.3">
      <c r="Z420" s="124" cm="1">
        <f t="array" ref="Z420">INDEX(Map!$B$2:$V$22,-Paths!AA420+11,Paths!AB420+11)</f>
        <v>0</v>
      </c>
      <c r="AA420" s="125">
        <f t="shared" si="18"/>
        <v>9</v>
      </c>
      <c r="AB420" s="125">
        <f t="shared" si="19"/>
        <v>10</v>
      </c>
      <c r="AC420" s="51" t="str">
        <f t="shared" si="20"/>
        <v>10, 9</v>
      </c>
    </row>
    <row r="421" spans="26:29" x14ac:dyDescent="0.3">
      <c r="Z421" s="124" t="str" cm="1">
        <f t="array" ref="Z421">INDEX(Map!$B$2:$V$22,-Paths!AA421+11,Paths!AB421+11)</f>
        <v>Blank_4</v>
      </c>
      <c r="AA421" s="125">
        <f t="shared" si="18"/>
        <v>10</v>
      </c>
      <c r="AB421" s="125">
        <f t="shared" si="19"/>
        <v>-10</v>
      </c>
      <c r="AC421" s="51" t="str">
        <f t="shared" si="20"/>
        <v>-10, 10</v>
      </c>
    </row>
    <row r="422" spans="26:29" x14ac:dyDescent="0.3">
      <c r="Z422" s="124" cm="1">
        <f t="array" ref="Z422">INDEX(Map!$B$2:$V$22,-Paths!AA422+11,Paths!AB422+11)</f>
        <v>0</v>
      </c>
      <c r="AA422" s="125">
        <f t="shared" si="18"/>
        <v>10</v>
      </c>
      <c r="AB422" s="125">
        <f t="shared" si="19"/>
        <v>-9</v>
      </c>
      <c r="AC422" s="51" t="str">
        <f t="shared" si="20"/>
        <v>-9, 10</v>
      </c>
    </row>
    <row r="423" spans="26:29" x14ac:dyDescent="0.3">
      <c r="Z423" s="124" cm="1">
        <f t="array" ref="Z423">INDEX(Map!$B$2:$V$22,-Paths!AA423+11,Paths!AB423+11)</f>
        <v>0</v>
      </c>
      <c r="AA423" s="125">
        <f t="shared" si="18"/>
        <v>10</v>
      </c>
      <c r="AB423" s="125">
        <f t="shared" si="19"/>
        <v>-8</v>
      </c>
      <c r="AC423" s="51" t="str">
        <f t="shared" si="20"/>
        <v>-8, 10</v>
      </c>
    </row>
    <row r="424" spans="26:29" x14ac:dyDescent="0.3">
      <c r="Z424" s="124" cm="1">
        <f t="array" ref="Z424">INDEX(Map!$B$2:$V$22,-Paths!AA424+11,Paths!AB424+11)</f>
        <v>0</v>
      </c>
      <c r="AA424" s="125">
        <f t="shared" si="18"/>
        <v>10</v>
      </c>
      <c r="AB424" s="125">
        <f t="shared" si="19"/>
        <v>-7</v>
      </c>
      <c r="AC424" s="51" t="str">
        <f t="shared" si="20"/>
        <v>-7, 10</v>
      </c>
    </row>
    <row r="425" spans="26:29" x14ac:dyDescent="0.3">
      <c r="Z425" s="124" cm="1">
        <f t="array" ref="Z425">INDEX(Map!$B$2:$V$22,-Paths!AA425+11,Paths!AB425+11)</f>
        <v>0</v>
      </c>
      <c r="AA425" s="125">
        <f t="shared" si="18"/>
        <v>10</v>
      </c>
      <c r="AB425" s="125">
        <f t="shared" si="19"/>
        <v>-6</v>
      </c>
      <c r="AC425" s="51" t="str">
        <f t="shared" si="20"/>
        <v>-6, 10</v>
      </c>
    </row>
    <row r="426" spans="26:29" x14ac:dyDescent="0.3">
      <c r="Z426" s="124" cm="1">
        <f t="array" ref="Z426">INDEX(Map!$B$2:$V$22,-Paths!AA426+11,Paths!AB426+11)</f>
        <v>0</v>
      </c>
      <c r="AA426" s="125">
        <f t="shared" si="18"/>
        <v>10</v>
      </c>
      <c r="AB426" s="125">
        <f t="shared" si="19"/>
        <v>-5</v>
      </c>
      <c r="AC426" s="51" t="str">
        <f t="shared" si="20"/>
        <v>-5, 10</v>
      </c>
    </row>
    <row r="427" spans="26:29" x14ac:dyDescent="0.3">
      <c r="Z427" s="124" cm="1">
        <f t="array" ref="Z427">INDEX(Map!$B$2:$V$22,-Paths!AA427+11,Paths!AB427+11)</f>
        <v>0</v>
      </c>
      <c r="AA427" s="125">
        <f t="shared" si="18"/>
        <v>10</v>
      </c>
      <c r="AB427" s="125">
        <f t="shared" si="19"/>
        <v>-4</v>
      </c>
      <c r="AC427" s="51" t="str">
        <f t="shared" si="20"/>
        <v>-4, 10</v>
      </c>
    </row>
    <row r="428" spans="26:29" x14ac:dyDescent="0.3">
      <c r="Z428" s="124" cm="1">
        <f t="array" ref="Z428">INDEX(Map!$B$2:$V$22,-Paths!AA428+11,Paths!AB428+11)</f>
        <v>0</v>
      </c>
      <c r="AA428" s="125">
        <f t="shared" si="18"/>
        <v>10</v>
      </c>
      <c r="AB428" s="125">
        <f t="shared" si="19"/>
        <v>-3</v>
      </c>
      <c r="AC428" s="51" t="str">
        <f t="shared" si="20"/>
        <v>-3, 10</v>
      </c>
    </row>
    <row r="429" spans="26:29" x14ac:dyDescent="0.3">
      <c r="Z429" s="124" cm="1">
        <f t="array" ref="Z429">INDEX(Map!$B$2:$V$22,-Paths!AA429+11,Paths!AB429+11)</f>
        <v>0</v>
      </c>
      <c r="AA429" s="125">
        <f t="shared" si="18"/>
        <v>10</v>
      </c>
      <c r="AB429" s="125">
        <f t="shared" si="19"/>
        <v>-2</v>
      </c>
      <c r="AC429" s="51" t="str">
        <f t="shared" si="20"/>
        <v>-2, 10</v>
      </c>
    </row>
    <row r="430" spans="26:29" x14ac:dyDescent="0.3">
      <c r="Z430" s="124" cm="1">
        <f t="array" ref="Z430">INDEX(Map!$B$2:$V$22,-Paths!AA430+11,Paths!AB430+11)</f>
        <v>0</v>
      </c>
      <c r="AA430" s="125">
        <f t="shared" si="18"/>
        <v>10</v>
      </c>
      <c r="AB430" s="125">
        <f t="shared" si="19"/>
        <v>-1</v>
      </c>
      <c r="AC430" s="51" t="str">
        <f t="shared" si="20"/>
        <v>-1, 10</v>
      </c>
    </row>
    <row r="431" spans="26:29" x14ac:dyDescent="0.3">
      <c r="Z431" s="124" cm="1">
        <f t="array" ref="Z431">INDEX(Map!$B$2:$V$22,-Paths!AA431+11,Paths!AB431+11)</f>
        <v>0</v>
      </c>
      <c r="AA431" s="125">
        <f t="shared" si="18"/>
        <v>10</v>
      </c>
      <c r="AB431" s="125">
        <f t="shared" si="19"/>
        <v>0</v>
      </c>
      <c r="AC431" s="51" t="str">
        <f t="shared" si="20"/>
        <v>0, 10</v>
      </c>
    </row>
    <row r="432" spans="26:29" x14ac:dyDescent="0.3">
      <c r="Z432" s="124" cm="1">
        <f t="array" ref="Z432">INDEX(Map!$B$2:$V$22,-Paths!AA432+11,Paths!AB432+11)</f>
        <v>0</v>
      </c>
      <c r="AA432" s="125">
        <f t="shared" si="18"/>
        <v>10</v>
      </c>
      <c r="AB432" s="125">
        <f t="shared" si="19"/>
        <v>1</v>
      </c>
      <c r="AC432" s="51" t="str">
        <f t="shared" si="20"/>
        <v>1, 10</v>
      </c>
    </row>
    <row r="433" spans="26:29" x14ac:dyDescent="0.3">
      <c r="Z433" s="124" cm="1">
        <f t="array" ref="Z433">INDEX(Map!$B$2:$V$22,-Paths!AA433+11,Paths!AB433+11)</f>
        <v>0</v>
      </c>
      <c r="AA433" s="125">
        <f t="shared" si="18"/>
        <v>10</v>
      </c>
      <c r="AB433" s="125">
        <f t="shared" si="19"/>
        <v>2</v>
      </c>
      <c r="AC433" s="51" t="str">
        <f t="shared" si="20"/>
        <v>2, 10</v>
      </c>
    </row>
    <row r="434" spans="26:29" x14ac:dyDescent="0.3">
      <c r="Z434" s="124" cm="1">
        <f t="array" ref="Z434">INDEX(Map!$B$2:$V$22,-Paths!AA434+11,Paths!AB434+11)</f>
        <v>0</v>
      </c>
      <c r="AA434" s="125">
        <f t="shared" si="18"/>
        <v>10</v>
      </c>
      <c r="AB434" s="125">
        <f t="shared" si="19"/>
        <v>3</v>
      </c>
      <c r="AC434" s="51" t="str">
        <f t="shared" si="20"/>
        <v>3, 10</v>
      </c>
    </row>
    <row r="435" spans="26:29" x14ac:dyDescent="0.3">
      <c r="Z435" s="124" cm="1">
        <f t="array" ref="Z435">INDEX(Map!$B$2:$V$22,-Paths!AA435+11,Paths!AB435+11)</f>
        <v>0</v>
      </c>
      <c r="AA435" s="125">
        <f t="shared" si="18"/>
        <v>10</v>
      </c>
      <c r="AB435" s="125">
        <f t="shared" si="19"/>
        <v>4</v>
      </c>
      <c r="AC435" s="51" t="str">
        <f t="shared" si="20"/>
        <v>4, 10</v>
      </c>
    </row>
    <row r="436" spans="26:29" x14ac:dyDescent="0.3">
      <c r="Z436" s="124" cm="1">
        <f t="array" ref="Z436">INDEX(Map!$B$2:$V$22,-Paths!AA436+11,Paths!AB436+11)</f>
        <v>0</v>
      </c>
      <c r="AA436" s="125">
        <f t="shared" si="18"/>
        <v>10</v>
      </c>
      <c r="AB436" s="125">
        <f t="shared" si="19"/>
        <v>5</v>
      </c>
      <c r="AC436" s="51" t="str">
        <f t="shared" si="20"/>
        <v>5, 10</v>
      </c>
    </row>
    <row r="437" spans="26:29" x14ac:dyDescent="0.3">
      <c r="Z437" s="124" cm="1">
        <f t="array" ref="Z437">INDEX(Map!$B$2:$V$22,-Paths!AA437+11,Paths!AB437+11)</f>
        <v>0</v>
      </c>
      <c r="AA437" s="125">
        <f t="shared" si="18"/>
        <v>10</v>
      </c>
      <c r="AB437" s="125">
        <f t="shared" si="19"/>
        <v>6</v>
      </c>
      <c r="AC437" s="51" t="str">
        <f t="shared" si="20"/>
        <v>6, 10</v>
      </c>
    </row>
    <row r="438" spans="26:29" x14ac:dyDescent="0.3">
      <c r="Z438" s="124" cm="1">
        <f t="array" ref="Z438">INDEX(Map!$B$2:$V$22,-Paths!AA438+11,Paths!AB438+11)</f>
        <v>0</v>
      </c>
      <c r="AA438" s="125">
        <f t="shared" si="18"/>
        <v>10</v>
      </c>
      <c r="AB438" s="125">
        <f t="shared" si="19"/>
        <v>7</v>
      </c>
      <c r="AC438" s="51" t="str">
        <f t="shared" si="20"/>
        <v>7, 10</v>
      </c>
    </row>
    <row r="439" spans="26:29" x14ac:dyDescent="0.3">
      <c r="Z439" s="124" cm="1">
        <f t="array" ref="Z439">INDEX(Map!$B$2:$V$22,-Paths!AA439+11,Paths!AB439+11)</f>
        <v>0</v>
      </c>
      <c r="AA439" s="125">
        <f t="shared" si="18"/>
        <v>10</v>
      </c>
      <c r="AB439" s="125">
        <f t="shared" si="19"/>
        <v>8</v>
      </c>
      <c r="AC439" s="51" t="str">
        <f t="shared" si="20"/>
        <v>8, 10</v>
      </c>
    </row>
    <row r="440" spans="26:29" x14ac:dyDescent="0.3">
      <c r="Z440" s="124" cm="1">
        <f t="array" ref="Z440">INDEX(Map!$B$2:$V$22,-Paths!AA440+11,Paths!AB440+11)</f>
        <v>0</v>
      </c>
      <c r="AA440" s="125">
        <f t="shared" si="18"/>
        <v>10</v>
      </c>
      <c r="AB440" s="125">
        <f t="shared" si="19"/>
        <v>9</v>
      </c>
      <c r="AC440" s="51" t="str">
        <f t="shared" si="20"/>
        <v>9, 10</v>
      </c>
    </row>
    <row r="441" spans="26:29" x14ac:dyDescent="0.3">
      <c r="Z441" s="124" t="str" cm="1">
        <f t="array" ref="Z441">INDEX(Map!$B$2:$V$22,-Paths!AA441+11,Paths!AB441+11)</f>
        <v>Blank_3</v>
      </c>
      <c r="AA441" s="125">
        <f t="shared" si="18"/>
        <v>10</v>
      </c>
      <c r="AB441" s="125">
        <f t="shared" si="19"/>
        <v>10</v>
      </c>
      <c r="AC441" s="51" t="str">
        <f t="shared" si="20"/>
        <v>10, 10</v>
      </c>
    </row>
  </sheetData>
  <sheetProtection formatCells="0"/>
  <mergeCells count="3">
    <mergeCell ref="D29:D31"/>
    <mergeCell ref="D302:D304"/>
    <mergeCell ref="D62:D64"/>
  </mergeCells>
  <phoneticPr fontId="6" type="noConversion"/>
  <conditionalFormatting sqref="E2:F5">
    <cfRule type="cellIs" dxfId="3" priority="3" operator="lessThan">
      <formula>-10</formula>
    </cfRule>
    <cfRule type="cellIs" dxfId="2" priority="4" operator="greaterThan">
      <formula>10</formula>
    </cfRule>
  </conditionalFormatting>
  <dataValidations count="2">
    <dataValidation allowBlank="1" showInputMessage="1" showErrorMessage="1" prompt="-10 &lt; X &lt;10" sqref="E1:E5" xr:uid="{89E4B2D3-0F9F-454B-B4FE-C7EAA3694E8F}"/>
    <dataValidation allowBlank="1" showInputMessage="1" showErrorMessage="1" prompt="-10&lt;Y&lt;10" sqref="F1:F5" xr:uid="{8BD82FA3-661D-4855-9034-68AD0BE68DB7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424332D-137A-48FD-8582-2AF28FA4158A}">
            <xm:f>AND(INDEX(Maze!$I:$I,QUOTIENT(ROW()+1,3)+1)&lt;&gt;"",MOD(ROW(),3)&lt;&gt;1)</xm:f>
            <x14:dxf>
              <fill>
                <gradientFill degree="90">
                  <stop position="0">
                    <color theme="0"/>
                  </stop>
                  <stop position="0.5">
                    <color rgb="FF61D6FF"/>
                  </stop>
                  <stop position="1">
                    <color theme="0"/>
                  </stop>
                </gradientFill>
              </fill>
              <border>
                <left/>
                <right/>
                <top/>
                <bottom/>
              </border>
            </x14:dxf>
          </x14:cfRule>
          <x14:cfRule type="expression" priority="5" id="{5A8D905D-964A-4BD1-AB00-95308D58ABE8}">
            <xm:f>INDEX(Maze!$A:$A,QUOTIENT(ROW()+1,3)+1)=0</xm:f>
            <x14:dxf>
              <fill>
                <gradientFill degree="90">
                  <stop position="0">
                    <color theme="0"/>
                  </stop>
                  <stop position="0.5">
                    <color rgb="FF61D6FF"/>
                  </stop>
                  <stop position="1">
                    <color theme="0"/>
                  </stop>
                </gradientFill>
              </fill>
              <border>
                <left/>
                <right/>
                <top/>
                <bottom/>
              </border>
            </x14:dxf>
          </x14:cfRule>
          <xm:sqref>A1:C1048576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BD245-2C88-45EC-BCFC-464A91A3187F}">
  <sheetPr codeName="Sheet8"/>
  <dimension ref="A1:D50"/>
  <sheetViews>
    <sheetView workbookViewId="0">
      <selection activeCell="B3" sqref="B3"/>
    </sheetView>
  </sheetViews>
  <sheetFormatPr defaultRowHeight="14.4" x14ac:dyDescent="0.3"/>
  <cols>
    <col min="1" max="1" width="10.88671875" style="74" customWidth="1"/>
    <col min="2" max="2" width="41.88671875" style="34" customWidth="1"/>
    <col min="3" max="3" width="60.21875" style="34" customWidth="1"/>
    <col min="4" max="4" width="90.88671875" customWidth="1"/>
  </cols>
  <sheetData>
    <row r="1" spans="1:4" ht="15" thickBot="1" x14ac:dyDescent="0.35">
      <c r="D1" s="88"/>
    </row>
    <row r="2" spans="1:4" ht="15" thickBot="1" x14ac:dyDescent="0.35">
      <c r="A2" s="84"/>
      <c r="B2" s="93" t="s">
        <v>119</v>
      </c>
      <c r="C2" s="94" t="s">
        <v>96</v>
      </c>
      <c r="D2" s="95" t="s">
        <v>117</v>
      </c>
    </row>
    <row r="3" spans="1:4" ht="46.8" customHeight="1" thickBot="1" x14ac:dyDescent="0.35">
      <c r="A3" s="96" t="s">
        <v>150</v>
      </c>
      <c r="B3" s="90" t="s">
        <v>153</v>
      </c>
      <c r="C3" s="91" t="s">
        <v>158</v>
      </c>
      <c r="D3" s="92" t="s">
        <v>151</v>
      </c>
    </row>
    <row r="4" spans="1:4" ht="15" thickBot="1" x14ac:dyDescent="0.35">
      <c r="A4" s="89"/>
      <c r="B4" s="76"/>
      <c r="C4" s="71"/>
      <c r="D4" s="72"/>
    </row>
    <row r="5" spans="1:4" ht="60" customHeight="1" thickBot="1" x14ac:dyDescent="0.35">
      <c r="A5" s="86" t="s">
        <v>114</v>
      </c>
      <c r="B5" s="90" t="s">
        <v>100</v>
      </c>
      <c r="C5" s="91" t="s">
        <v>118</v>
      </c>
      <c r="D5" s="92" t="s">
        <v>110</v>
      </c>
    </row>
    <row r="6" spans="1:4" x14ac:dyDescent="0.3">
      <c r="A6" s="85"/>
      <c r="B6" s="76"/>
      <c r="C6" s="71"/>
      <c r="D6" s="72"/>
    </row>
    <row r="7" spans="1:4" ht="15" thickBot="1" x14ac:dyDescent="0.35">
      <c r="B7" s="76"/>
      <c r="C7" s="71"/>
      <c r="D7" s="73"/>
    </row>
    <row r="8" spans="1:4" ht="15" thickBot="1" x14ac:dyDescent="0.35">
      <c r="A8" s="81"/>
      <c r="B8" s="78" t="s">
        <v>113</v>
      </c>
      <c r="C8" s="79" t="s">
        <v>96</v>
      </c>
      <c r="D8" s="80" t="s">
        <v>117</v>
      </c>
    </row>
    <row r="9" spans="1:4" ht="60" customHeight="1" x14ac:dyDescent="0.3">
      <c r="A9" s="188" t="s">
        <v>115</v>
      </c>
      <c r="B9" s="38" t="s">
        <v>120</v>
      </c>
      <c r="C9" s="36" t="s">
        <v>121</v>
      </c>
      <c r="D9" s="70" t="s">
        <v>103</v>
      </c>
    </row>
    <row r="10" spans="1:4" ht="60" customHeight="1" thickBot="1" x14ac:dyDescent="0.35">
      <c r="A10" s="189"/>
      <c r="B10" s="39" t="s">
        <v>122</v>
      </c>
      <c r="C10" s="37" t="s">
        <v>160</v>
      </c>
      <c r="D10" s="40" t="s">
        <v>108</v>
      </c>
    </row>
    <row r="11" spans="1:4" x14ac:dyDescent="0.3">
      <c r="B11" s="75"/>
      <c r="C11" s="71"/>
      <c r="D11" s="72"/>
    </row>
    <row r="12" spans="1:4" ht="15" thickBot="1" x14ac:dyDescent="0.35">
      <c r="B12" s="76"/>
      <c r="C12" s="71"/>
      <c r="D12" s="73"/>
    </row>
    <row r="13" spans="1:4" ht="15.6" customHeight="1" thickBot="1" x14ac:dyDescent="0.35">
      <c r="B13" s="78" t="s">
        <v>123</v>
      </c>
      <c r="C13" s="79" t="s">
        <v>96</v>
      </c>
      <c r="D13" s="80" t="s">
        <v>117</v>
      </c>
    </row>
    <row r="14" spans="1:4" ht="73.2" customHeight="1" x14ac:dyDescent="0.3">
      <c r="A14" s="188" t="s">
        <v>116</v>
      </c>
      <c r="B14" s="77" t="s">
        <v>99</v>
      </c>
      <c r="C14" s="82" t="s">
        <v>126</v>
      </c>
      <c r="D14" s="83" t="s">
        <v>105</v>
      </c>
    </row>
    <row r="15" spans="1:4" ht="46.8" customHeight="1" x14ac:dyDescent="0.3">
      <c r="A15" s="190"/>
      <c r="B15" s="43" t="s">
        <v>98</v>
      </c>
      <c r="C15" s="45" t="s">
        <v>124</v>
      </c>
      <c r="D15" s="41" t="s">
        <v>111</v>
      </c>
    </row>
    <row r="16" spans="1:4" ht="49.8" customHeight="1" thickBot="1" x14ac:dyDescent="0.35">
      <c r="A16" s="189"/>
      <c r="B16" s="44" t="s">
        <v>104</v>
      </c>
      <c r="C16" s="46" t="s">
        <v>125</v>
      </c>
      <c r="D16" s="42" t="s">
        <v>112</v>
      </c>
    </row>
    <row r="17" spans="2:2" x14ac:dyDescent="0.3">
      <c r="B17" s="35"/>
    </row>
    <row r="18" spans="2:2" x14ac:dyDescent="0.3">
      <c r="B18" s="35"/>
    </row>
    <row r="50" spans="2:2" x14ac:dyDescent="0.3">
      <c r="B50" s="35"/>
    </row>
  </sheetData>
  <mergeCells count="2">
    <mergeCell ref="A9:A10"/>
    <mergeCell ref="A14:A16"/>
  </mergeCells>
  <hyperlinks>
    <hyperlink ref="D9" r:id="rId1" display="Excel Convererter: https://docs.google.com/spreadsheets/d/1Q0a8-2sIvj7IQSQ2C1mAVWkEygv6768o" xr:uid="{00000000-0004-0000-0000-000002000000}"/>
    <hyperlink ref="D16" r:id="rId2" display="Link to your room : https://spotmaze.world/[username]?myroom" xr:uid="{14F49147-9D68-4428-A1E4-4E4AB1C4063B}"/>
    <hyperlink ref="D15" r:id="rId3" display="Link to your world : https://spotmaze.world/[username]." xr:uid="{1514167F-A997-4FBE-948A-3EB6BFBBC713}"/>
    <hyperlink ref="D5" r:id="rId4" display="Fork this Repo : https://github.com/spotmaze/spotmaze" xr:uid="{C6AF3A25-89FD-43F3-837A-B64965D54DB5}"/>
    <hyperlink ref="D14" r:id="rId5" display="https://github.com/spotmaze/spotmaze" xr:uid="{29C87671-412A-4950-9CE6-246B57D948CC}"/>
    <hyperlink ref="D10" r:id="rId6" location=" " display="https://beautifytools.com/excel-to-json-converter.php# " xr:uid="{0CA2ECDA-791A-48C5-BDFE-E61FF70FB0DC}"/>
    <hyperlink ref="D3" r:id="rId7" xr:uid="{F11C9E8E-4A90-46F5-8C3C-A8553D38F8C6}"/>
  </hyperlinks>
  <pageMargins left="0.7" right="0.7" top="0.75" bottom="0.75" header="0.3" footer="0.3"/>
  <pageSetup orientation="portrait"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Website</vt:lpstr>
      <vt:lpstr>Developer Mode</vt:lpstr>
      <vt:lpstr>Base Plate</vt:lpstr>
      <vt:lpstr>Map</vt:lpstr>
      <vt:lpstr>Spots</vt:lpstr>
      <vt:lpstr>Maze</vt:lpstr>
      <vt:lpstr>Paths</vt:lpstr>
      <vt:lpstr>Upload Process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Parag Pathak</dc:creator>
  <cp:lastModifiedBy>Admin</cp:lastModifiedBy>
  <dcterms:created xsi:type="dcterms:W3CDTF">2021-10-24T13:44:16Z</dcterms:created>
  <dcterms:modified xsi:type="dcterms:W3CDTF">2021-11-11T09:42:04Z</dcterms:modified>
</cp:coreProperties>
</file>